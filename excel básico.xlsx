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uani_rockenbach\Downloads\"/>
    </mc:Choice>
  </mc:AlternateContent>
  <xr:revisionPtr revIDLastSave="0" documentId="13_ncr:1_{C22B777B-4B74-4D03-B6C8-4DB650CBF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1" l="1"/>
  <c r="E24" i="1"/>
  <c r="E25" i="1"/>
  <c r="E23" i="1"/>
  <c r="P18" i="1"/>
  <c r="P19" i="1"/>
  <c r="P17" i="1"/>
  <c r="O17" i="1"/>
  <c r="O18" i="1"/>
  <c r="O19" i="1"/>
  <c r="J18" i="1"/>
  <c r="N18" i="1"/>
  <c r="N19" i="1"/>
  <c r="N17" i="1"/>
  <c r="J19" i="1"/>
  <c r="J17" i="1"/>
  <c r="I18" i="1"/>
  <c r="I19" i="1"/>
  <c r="I17" i="1"/>
  <c r="M3" i="1"/>
  <c r="M4" i="1"/>
  <c r="E13" i="1"/>
  <c r="E12" i="1"/>
  <c r="E11" i="1"/>
  <c r="E7" i="1"/>
  <c r="E9" i="1"/>
  <c r="E5" i="1"/>
</calcChain>
</file>

<file path=xl/sharedStrings.xml><?xml version="1.0" encoding="utf-8"?>
<sst xmlns="http://schemas.openxmlformats.org/spreadsheetml/2006/main" count="41" uniqueCount="29">
  <si>
    <t>Vendedor</t>
  </si>
  <si>
    <t>Valor_Venda</t>
  </si>
  <si>
    <t>Ana</t>
  </si>
  <si>
    <t>Eduardo</t>
  </si>
  <si>
    <t>Daniela</t>
  </si>
  <si>
    <t>Fernanda</t>
  </si>
  <si>
    <t>Bruno</t>
  </si>
  <si>
    <t>Carlos</t>
  </si>
  <si>
    <t>Ana vendeu mais que Eduardo?</t>
  </si>
  <si>
    <t>Ana vendeu mais que Eduardo e Daniela?</t>
  </si>
  <si>
    <t>Se Ana vendeu mais que Eduardo ,qual o valor da diferença?</t>
  </si>
  <si>
    <t>E</t>
  </si>
  <si>
    <t>OU</t>
  </si>
  <si>
    <t>Hora</t>
  </si>
  <si>
    <t>Dia</t>
  </si>
  <si>
    <t xml:space="preserve">    </t>
  </si>
  <si>
    <t>ALUNO</t>
  </si>
  <si>
    <t>NOTA1</t>
  </si>
  <si>
    <t>NOTA2</t>
  </si>
  <si>
    <t>NOTA3</t>
  </si>
  <si>
    <t>STATUS</t>
  </si>
  <si>
    <t>TAU</t>
  </si>
  <si>
    <t>LUAN</t>
  </si>
  <si>
    <t>CLARA</t>
  </si>
  <si>
    <t>MEDIA</t>
  </si>
  <si>
    <t>STATUS DO ALUNO</t>
  </si>
  <si>
    <t>nota1</t>
  </si>
  <si>
    <t>nota3</t>
  </si>
  <si>
    <t>PROCX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</si>
</sst>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2" fillId="2" borderId="1" xfId="0" applyFont="1" applyFill="1" applyBorder="1"/>
    <xf numFmtId="0" fontId="0" fillId="2" borderId="1" xfId="0" applyFill="1" applyBorder="1"/>
    <xf numFmtId="43" fontId="0" fillId="0" borderId="1" xfId="1" applyFont="1" applyBorder="1"/>
    <xf numFmtId="0" fontId="0" fillId="3" borderId="0" xfId="0" applyFill="1"/>
    <xf numFmtId="0" fontId="0" fillId="3" borderId="0" xfId="0" applyFill="1" applyAlignment="1"/>
    <xf numFmtId="0" fontId="2" fillId="0" borderId="0" xfId="0" applyFont="1" applyFill="1"/>
    <xf numFmtId="0" fontId="2" fillId="0" borderId="0" xfId="0" applyFont="1" applyFill="1" applyAlignment="1"/>
    <xf numFmtId="0" fontId="2" fillId="0" borderId="0" xfId="0" applyFont="1" applyFill="1" applyBorder="1" applyAlignment="1">
      <alignment wrapText="1"/>
    </xf>
    <xf numFmtId="0" fontId="0" fillId="4" borderId="0" xfId="0" applyFill="1"/>
    <xf numFmtId="43" fontId="0" fillId="0" borderId="0" xfId="1" applyFont="1"/>
    <xf numFmtId="0" fontId="0" fillId="4" borderId="1" xfId="0" applyFill="1" applyBorder="1"/>
    <xf numFmtId="14" fontId="0" fillId="0" borderId="0" xfId="0" applyNumberFormat="1"/>
    <xf numFmtId="22" fontId="0" fillId="0" borderId="0" xfId="0" applyNumberFormat="1"/>
    <xf numFmtId="2" fontId="0" fillId="0" borderId="1" xfId="0" applyNumberFormat="1" applyBorder="1"/>
    <xf numFmtId="0" fontId="0" fillId="0" borderId="0" xfId="0" applyBorder="1"/>
    <xf numFmtId="16" fontId="0" fillId="0" borderId="0" xfId="0" applyNumberFormat="1" applyBorder="1"/>
    <xf numFmtId="0" fontId="0" fillId="5" borderId="1" xfId="0" applyFill="1" applyBorder="1"/>
    <xf numFmtId="0" fontId="0" fillId="5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Planilha1!$E$17</c:f>
              <c:strCache>
                <c:ptCount val="1"/>
                <c:pt idx="0">
                  <c:v>TAU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Planilha1!$F$16:$H$16</c:f>
              <c:strCache>
                <c:ptCount val="3"/>
                <c:pt idx="0">
                  <c:v>NOTA1</c:v>
                </c:pt>
                <c:pt idx="1">
                  <c:v>NOTA2</c:v>
                </c:pt>
                <c:pt idx="2">
                  <c:v>NOTA3</c:v>
                </c:pt>
              </c:strCache>
            </c:strRef>
          </c:cat>
          <c:val>
            <c:numRef>
              <c:f>Planilha1!$F$17:$H$17</c:f>
              <c:numCache>
                <c:formatCode>0.00</c:formatCode>
                <c:ptCount val="3"/>
                <c:pt idx="0">
                  <c:v>8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6-487D-8634-8C57EE11B047}"/>
            </c:ext>
          </c:extLst>
        </c:ser>
        <c:ser>
          <c:idx val="1"/>
          <c:order val="1"/>
          <c:tx>
            <c:strRef>
              <c:f>Planilha1!$E$18</c:f>
              <c:strCache>
                <c:ptCount val="1"/>
                <c:pt idx="0">
                  <c:v>LUAN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Planilha1!$F$16:$H$16</c:f>
              <c:strCache>
                <c:ptCount val="3"/>
                <c:pt idx="0">
                  <c:v>NOTA1</c:v>
                </c:pt>
                <c:pt idx="1">
                  <c:v>NOTA2</c:v>
                </c:pt>
                <c:pt idx="2">
                  <c:v>NOTA3</c:v>
                </c:pt>
              </c:strCache>
            </c:strRef>
          </c:cat>
          <c:val>
            <c:numRef>
              <c:f>Planilha1!$F$18:$H$18</c:f>
              <c:numCache>
                <c:formatCode>0.00</c:formatCode>
                <c:ptCount val="3"/>
                <c:pt idx="0">
                  <c:v>3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6-487D-8634-8C57EE11B047}"/>
            </c:ext>
          </c:extLst>
        </c:ser>
        <c:ser>
          <c:idx val="2"/>
          <c:order val="2"/>
          <c:tx>
            <c:strRef>
              <c:f>Planilha1!$E$19</c:f>
              <c:strCache>
                <c:ptCount val="1"/>
                <c:pt idx="0">
                  <c:v>CLARA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Planilha1!$F$16:$H$16</c:f>
              <c:strCache>
                <c:ptCount val="3"/>
                <c:pt idx="0">
                  <c:v>NOTA1</c:v>
                </c:pt>
                <c:pt idx="1">
                  <c:v>NOTA2</c:v>
                </c:pt>
                <c:pt idx="2">
                  <c:v>NOTA3</c:v>
                </c:pt>
              </c:strCache>
            </c:strRef>
          </c:cat>
          <c:val>
            <c:numRef>
              <c:f>Planilha1!$F$19:$H$19</c:f>
              <c:numCache>
                <c:formatCode>0.00</c:formatCode>
                <c:ptCount val="3"/>
                <c:pt idx="0">
                  <c:v>9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6-487D-8634-8C57EE11B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291024"/>
        <c:axId val="844293424"/>
      </c:barChart>
      <c:catAx>
        <c:axId val="8442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4293424"/>
        <c:crosses val="autoZero"/>
        <c:auto val="1"/>
        <c:lblAlgn val="ctr"/>
        <c:lblOffset val="100"/>
        <c:noMultiLvlLbl val="0"/>
      </c:catAx>
      <c:valAx>
        <c:axId val="8442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429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Planilha1!$I$16</c:f>
              <c:strCache>
                <c:ptCount val="1"/>
                <c:pt idx="0">
                  <c:v>MEDIA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Planilha1!$E$17:$E$19</c:f>
              <c:strCache>
                <c:ptCount val="3"/>
                <c:pt idx="0">
                  <c:v>TAU</c:v>
                </c:pt>
                <c:pt idx="1">
                  <c:v>LUAN</c:v>
                </c:pt>
                <c:pt idx="2">
                  <c:v>CLARA</c:v>
                </c:pt>
              </c:strCache>
            </c:strRef>
          </c:cat>
          <c:val>
            <c:numRef>
              <c:f>Planilha1!$I$17:$I$19</c:f>
              <c:numCache>
                <c:formatCode>0.00</c:formatCode>
                <c:ptCount val="3"/>
                <c:pt idx="0">
                  <c:v>8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4-40D3-A890-0E31B3E8C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20</xdr:row>
      <xdr:rowOff>147637</xdr:rowOff>
    </xdr:from>
    <xdr:to>
      <xdr:col>11</xdr:col>
      <xdr:colOff>295275</xdr:colOff>
      <xdr:row>35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EB3A49-CF48-7E6A-0F1E-DC207DA90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519112</xdr:colOff>
      <xdr:row>20</xdr:row>
      <xdr:rowOff>157162</xdr:rowOff>
    </xdr:from>
    <xdr:to>
      <xdr:col>17</xdr:col>
      <xdr:colOff>452437</xdr:colOff>
      <xdr:row>35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3C86EE-616D-86C2-C7D7-8024A110B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R18" sqref="R18"/>
    </sheetView>
  </sheetViews>
  <sheetFormatPr defaultRowHeight="15" x14ac:dyDescent="0.25"/>
  <cols>
    <col min="2" max="2" width="12.42578125" bestFit="1" customWidth="1"/>
    <col min="5" max="5" width="12.42578125" bestFit="1" customWidth="1"/>
    <col min="6" max="9" width="11.5703125" bestFit="1" customWidth="1"/>
    <col min="10" max="10" width="12.140625" customWidth="1"/>
    <col min="11" max="11" width="11.5703125" bestFit="1" customWidth="1"/>
    <col min="13" max="13" width="15.85546875" bestFit="1" customWidth="1"/>
    <col min="14" max="14" width="17.140625" customWidth="1"/>
  </cols>
  <sheetData>
    <row r="1" spans="1:16" x14ac:dyDescent="0.25">
      <c r="A1" s="4" t="s">
        <v>0</v>
      </c>
      <c r="B1" s="4" t="s">
        <v>1</v>
      </c>
      <c r="E1" s="3" t="s">
        <v>0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</row>
    <row r="2" spans="1:16" x14ac:dyDescent="0.25">
      <c r="A2" s="1" t="s">
        <v>2</v>
      </c>
      <c r="B2" s="1">
        <v>764599.76</v>
      </c>
      <c r="E2" s="2" t="s">
        <v>1</v>
      </c>
      <c r="F2" s="5">
        <v>764599.76</v>
      </c>
      <c r="G2" s="5">
        <v>676014.33999999985</v>
      </c>
      <c r="H2" s="5">
        <v>444766.29</v>
      </c>
      <c r="I2" s="5">
        <v>708937.64999999991</v>
      </c>
      <c r="J2" s="5">
        <v>630032.73</v>
      </c>
      <c r="K2" s="5">
        <v>413382.36000000004</v>
      </c>
    </row>
    <row r="3" spans="1:16" x14ac:dyDescent="0.25">
      <c r="A3" s="1" t="s">
        <v>3</v>
      </c>
      <c r="B3" s="1">
        <v>676014.33999999985</v>
      </c>
      <c r="I3" s="8"/>
      <c r="J3" s="8"/>
      <c r="K3" s="8"/>
      <c r="L3" s="11" t="s">
        <v>14</v>
      </c>
      <c r="M3" s="14">
        <f ca="1">TODAY()</f>
        <v>46135</v>
      </c>
      <c r="N3" s="14">
        <v>46381</v>
      </c>
    </row>
    <row r="4" spans="1:16" x14ac:dyDescent="0.25">
      <c r="A4" s="1" t="s">
        <v>4</v>
      </c>
      <c r="B4" s="1">
        <v>444766.29</v>
      </c>
      <c r="E4" s="6" t="s">
        <v>8</v>
      </c>
      <c r="F4" s="6"/>
      <c r="G4" s="6"/>
      <c r="I4" s="9"/>
      <c r="J4" s="10"/>
      <c r="K4" s="10"/>
      <c r="L4" s="11" t="s">
        <v>13</v>
      </c>
      <c r="M4" s="15">
        <f ca="1">NOW()</f>
        <v>46135.88538472222</v>
      </c>
      <c r="N4" s="15"/>
    </row>
    <row r="5" spans="1:16" x14ac:dyDescent="0.25">
      <c r="A5" s="1" t="s">
        <v>5</v>
      </c>
      <c r="B5" s="1">
        <v>708937.64999999991</v>
      </c>
      <c r="E5" t="str">
        <f>IF(F2&gt;IG2,"sim","NÃO")</f>
        <v>sim</v>
      </c>
      <c r="I5" s="8"/>
      <c r="J5" s="8"/>
      <c r="K5" s="8"/>
      <c r="N5" t="s">
        <v>15</v>
      </c>
    </row>
    <row r="6" spans="1:16" x14ac:dyDescent="0.25">
      <c r="A6" s="1" t="s">
        <v>6</v>
      </c>
      <c r="B6" s="1">
        <v>630032.73</v>
      </c>
      <c r="E6" s="7" t="s">
        <v>9</v>
      </c>
      <c r="F6" s="6"/>
      <c r="G6" s="6"/>
      <c r="I6" s="8"/>
      <c r="J6" s="8"/>
      <c r="K6" s="8"/>
      <c r="L6" t="str">
        <f>RIGHT(N3,5)</f>
        <v>46381</v>
      </c>
    </row>
    <row r="7" spans="1:16" x14ac:dyDescent="0.25">
      <c r="A7" s="1" t="s">
        <v>7</v>
      </c>
      <c r="B7" s="1">
        <v>413382.36000000004</v>
      </c>
      <c r="E7" t="str">
        <f>IF(B4&gt;C4&gt;D4,"Sim","Não")</f>
        <v>Sim</v>
      </c>
    </row>
    <row r="8" spans="1:16" x14ac:dyDescent="0.25">
      <c r="E8" s="6" t="s">
        <v>10</v>
      </c>
      <c r="F8" s="6"/>
      <c r="G8" s="6"/>
      <c r="H8" s="6"/>
      <c r="I8" s="6"/>
    </row>
    <row r="9" spans="1:16" x14ac:dyDescent="0.25">
      <c r="E9" s="12">
        <f>IF(F2&gt;G2,(F2-G2),"Não")</f>
        <v>88585.420000000158</v>
      </c>
    </row>
    <row r="11" spans="1:16" x14ac:dyDescent="0.25">
      <c r="E11" t="b">
        <f>AND(F2&gt;G2,H2&gt;I2)</f>
        <v>0</v>
      </c>
    </row>
    <row r="12" spans="1:16" x14ac:dyDescent="0.25">
      <c r="D12" s="13" t="s">
        <v>11</v>
      </c>
      <c r="E12" t="str">
        <f>IF(AND(F2&gt;G2,F2&gt;H2),"sim","não")</f>
        <v>sim</v>
      </c>
    </row>
    <row r="13" spans="1:16" x14ac:dyDescent="0.25">
      <c r="D13" s="13" t="s">
        <v>12</v>
      </c>
      <c r="E13" t="str">
        <f>+IF(OR(G2&gt;H2,G2&gt;I2),"sim","não")</f>
        <v>sim</v>
      </c>
    </row>
    <row r="16" spans="1:16" x14ac:dyDescent="0.25">
      <c r="E16" s="19" t="s">
        <v>16</v>
      </c>
      <c r="F16" s="19" t="s">
        <v>17</v>
      </c>
      <c r="G16" s="19" t="s">
        <v>18</v>
      </c>
      <c r="H16" s="19" t="s">
        <v>19</v>
      </c>
      <c r="I16" s="19" t="s">
        <v>24</v>
      </c>
      <c r="J16" s="19" t="s">
        <v>20</v>
      </c>
      <c r="K16" s="17"/>
      <c r="L16" s="17"/>
      <c r="M16" s="19" t="s">
        <v>16</v>
      </c>
      <c r="N16" s="19" t="s">
        <v>25</v>
      </c>
      <c r="O16" s="19" t="s">
        <v>26</v>
      </c>
      <c r="P16" s="19" t="s">
        <v>27</v>
      </c>
    </row>
    <row r="17" spans="4:16" x14ac:dyDescent="0.25">
      <c r="E17" s="19" t="s">
        <v>21</v>
      </c>
      <c r="F17" s="16">
        <v>8</v>
      </c>
      <c r="G17" s="16">
        <v>9</v>
      </c>
      <c r="H17" s="16">
        <v>7</v>
      </c>
      <c r="I17" s="16">
        <f>MEDIAN(F17:H17)</f>
        <v>8</v>
      </c>
      <c r="J17" s="1" t="str">
        <f>IF(I17&gt;=7,"APROVADO",IF(I17&lt;6,"REPROVADO,""EXAME"))</f>
        <v>APROVADO</v>
      </c>
      <c r="K17" s="18"/>
      <c r="L17" s="17"/>
      <c r="M17" s="19" t="s">
        <v>21</v>
      </c>
      <c r="N17" s="1" t="str">
        <f>VLOOKUP(M17,E:K,6,0)</f>
        <v>APROVADO</v>
      </c>
      <c r="O17" s="1">
        <f>VLOOKUP(M17,E16:I19,2,0)</f>
        <v>8</v>
      </c>
      <c r="P17" s="1">
        <f>VLOOKUP(M17,E16:H19,4,0)</f>
        <v>7</v>
      </c>
    </row>
    <row r="18" spans="4:16" x14ac:dyDescent="0.25">
      <c r="E18" s="19" t="s">
        <v>22</v>
      </c>
      <c r="F18" s="16">
        <v>3</v>
      </c>
      <c r="G18" s="16">
        <v>2</v>
      </c>
      <c r="H18" s="16">
        <v>5</v>
      </c>
      <c r="I18" s="16">
        <f t="shared" ref="I18:I19" si="0">MEDIAN(F18:H18)</f>
        <v>3</v>
      </c>
      <c r="J18" s="1" t="str">
        <f>IF(I18&gt;=7,"APROVADO",IF(I18&lt;6,"REPROVADO","EXAME"))</f>
        <v>REPROVADO</v>
      </c>
      <c r="M18" s="19" t="s">
        <v>22</v>
      </c>
      <c r="N18" s="1" t="str">
        <f t="shared" ref="N18:N19" si="1">VLOOKUP(M18,E:K,6,0)</f>
        <v>REPROVADO</v>
      </c>
      <c r="O18" s="1">
        <f t="shared" ref="O18:O19" si="2">VLOOKUP(M18,E17:I20,2,0)</f>
        <v>3</v>
      </c>
      <c r="P18" s="1">
        <f t="shared" ref="P18:P19" si="3">VLOOKUP(M18,E17:H20,4,0)</f>
        <v>5</v>
      </c>
    </row>
    <row r="19" spans="4:16" x14ac:dyDescent="0.25">
      <c r="E19" s="19" t="s">
        <v>23</v>
      </c>
      <c r="F19" s="16">
        <v>9</v>
      </c>
      <c r="G19" s="16">
        <v>2</v>
      </c>
      <c r="H19" s="16">
        <v>6</v>
      </c>
      <c r="I19" s="16">
        <f t="shared" si="0"/>
        <v>6</v>
      </c>
      <c r="J19" s="1" t="str">
        <f>IF(I19&gt;=7,"APROVADO",IF(I19&lt;6,"REPROVADO","EXAME"))</f>
        <v>EXAME</v>
      </c>
      <c r="K19" s="17"/>
      <c r="L19" s="17"/>
      <c r="M19" s="19" t="s">
        <v>23</v>
      </c>
      <c r="N19" s="1" t="str">
        <f t="shared" si="1"/>
        <v>EXAME</v>
      </c>
      <c r="O19" s="1">
        <f t="shared" si="2"/>
        <v>9</v>
      </c>
      <c r="P19" s="1">
        <f t="shared" si="3"/>
        <v>6</v>
      </c>
    </row>
    <row r="23" spans="4:16" x14ac:dyDescent="0.25">
      <c r="D23" s="20" t="s">
        <v>28</v>
      </c>
      <c r="E23" s="1" t="str">
        <f>_xlfn.XLOOKUP(E17,E:E,J:J)</f>
        <v>APROVADO</v>
      </c>
    </row>
    <row r="24" spans="4:16" x14ac:dyDescent="0.25">
      <c r="E24" s="1" t="str">
        <f t="shared" ref="E24:E25" si="4">_xlfn.XLOOKUP(E18,E:E,J:J)</f>
        <v>REPROVADO</v>
      </c>
    </row>
    <row r="25" spans="4:16" x14ac:dyDescent="0.25">
      <c r="E25" s="1" t="str">
        <f t="shared" si="4"/>
        <v>EXAME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TAUANI KRIESER ROCKENBACH</dc:creator>
  <cp:lastModifiedBy>TAUANI KRIESER ROCKENBACH</cp:lastModifiedBy>
  <dcterms:created xsi:type="dcterms:W3CDTF">2026-04-17T22:10:26Z</dcterms:created>
  <dcterms:modified xsi:type="dcterms:W3CDTF">2026-04-24T00:27:42Z</dcterms:modified>
</cp:coreProperties>
</file>