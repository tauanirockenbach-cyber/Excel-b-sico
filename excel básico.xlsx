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auani_rockenbach\Documents\"/>
    </mc:Choice>
  </mc:AlternateContent>
  <bookViews>
    <workbookView xWindow="0" yWindow="0" windowWidth="28800" windowHeight="1218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" l="1"/>
  <c r="L5" i="1"/>
  <c r="M4" i="1"/>
  <c r="M3" i="1"/>
  <c r="E13" i="1"/>
  <c r="E12" i="1"/>
  <c r="E11" i="1"/>
  <c r="E7" i="1"/>
  <c r="E9" i="1"/>
  <c r="E5" i="1"/>
</calcChain>
</file>

<file path=xl/sharedStrings.xml><?xml version="1.0" encoding="utf-8"?>
<sst xmlns="http://schemas.openxmlformats.org/spreadsheetml/2006/main" count="24" uniqueCount="16">
  <si>
    <t>Vendedor</t>
  </si>
  <si>
    <t>Valor_Venda</t>
  </si>
  <si>
    <t>Ana</t>
  </si>
  <si>
    <t>Eduardo</t>
  </si>
  <si>
    <t>Daniela</t>
  </si>
  <si>
    <t>Fernanda</t>
  </si>
  <si>
    <t>Bruno</t>
  </si>
  <si>
    <t>Carlos</t>
  </si>
  <si>
    <t>Ana vendeu mais que Eduardo?</t>
  </si>
  <si>
    <t>Ana vendeu mais que Eduardo e Daniela?</t>
  </si>
  <si>
    <t>Se Ana vendeu mais que Eduardo ,qual o valor da diferença?</t>
  </si>
  <si>
    <t>E</t>
  </si>
  <si>
    <t>OU</t>
  </si>
  <si>
    <t>Hora</t>
  </si>
  <si>
    <t>Dia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</si>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</sst>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/>
    <xf numFmtId="0" fontId="2" fillId="2" borderId="1" xfId="0" applyFont="1" applyFill="1" applyBorder="1"/>
    <xf numFmtId="0" fontId="0" fillId="2" borderId="1" xfId="0" applyFill="1" applyBorder="1"/>
    <xf numFmtId="43" fontId="0" fillId="0" borderId="1" xfId="1" applyFont="1" applyBorder="1"/>
    <xf numFmtId="0" fontId="0" fillId="3" borderId="0" xfId="0" applyFill="1"/>
    <xf numFmtId="0" fontId="0" fillId="3" borderId="0" xfId="0" applyFill="1" applyAlignment="1"/>
    <xf numFmtId="0" fontId="2" fillId="0" borderId="0" xfId="0" applyFont="1" applyFill="1"/>
    <xf numFmtId="0" fontId="2" fillId="0" borderId="0" xfId="0" applyFont="1" applyFill="1" applyAlignment="1"/>
    <xf numFmtId="0" fontId="2" fillId="0" borderId="0" xfId="0" applyFont="1" applyFill="1" applyBorder="1" applyAlignment="1">
      <alignment wrapText="1"/>
    </xf>
    <xf numFmtId="0" fontId="0" fillId="4" borderId="0" xfId="0" applyFill="1"/>
    <xf numFmtId="43" fontId="0" fillId="0" borderId="0" xfId="1" applyFont="1"/>
    <xf numFmtId="0" fontId="0" fillId="4" borderId="1" xfId="0" applyFill="1" applyBorder="1"/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N14" sqref="N14"/>
    </sheetView>
  </sheetViews>
  <sheetFormatPr defaultRowHeight="15" x14ac:dyDescent="0.25"/>
  <cols>
    <col min="2" max="2" width="12.42578125" bestFit="1" customWidth="1"/>
    <col min="5" max="5" width="12.42578125" bestFit="1" customWidth="1"/>
    <col min="6" max="11" width="11.5703125" bestFit="1" customWidth="1"/>
    <col min="13" max="14" width="15.85546875" bestFit="1" customWidth="1"/>
  </cols>
  <sheetData>
    <row r="1" spans="1:14" x14ac:dyDescent="0.25">
      <c r="A1" s="4" t="s">
        <v>0</v>
      </c>
      <c r="B1" s="4" t="s">
        <v>1</v>
      </c>
      <c r="E1" s="3" t="s">
        <v>0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</row>
    <row r="2" spans="1:14" x14ac:dyDescent="0.25">
      <c r="A2" s="1" t="s">
        <v>2</v>
      </c>
      <c r="B2" s="1">
        <v>764599.76</v>
      </c>
      <c r="E2" s="2" t="s">
        <v>1</v>
      </c>
      <c r="F2" s="5">
        <v>764599.76</v>
      </c>
      <c r="G2" s="5">
        <v>676014.33999999985</v>
      </c>
      <c r="H2" s="5">
        <v>444766.29</v>
      </c>
      <c r="I2" s="5">
        <v>708937.64999999991</v>
      </c>
      <c r="J2" s="5">
        <v>630032.73</v>
      </c>
      <c r="K2" s="5">
        <v>413382.36000000004</v>
      </c>
    </row>
    <row r="3" spans="1:14" x14ac:dyDescent="0.25">
      <c r="A3" s="1" t="s">
        <v>3</v>
      </c>
      <c r="B3" s="1">
        <v>676014.33999999985</v>
      </c>
      <c r="I3" s="8"/>
      <c r="J3" s="8"/>
      <c r="K3" s="8"/>
      <c r="L3" s="11" t="s">
        <v>14</v>
      </c>
      <c r="M3" s="14">
        <f ca="1">TODAY()</f>
        <v>46129</v>
      </c>
      <c r="N3" s="14">
        <v>46381</v>
      </c>
    </row>
    <row r="4" spans="1:14" x14ac:dyDescent="0.25">
      <c r="A4" s="1" t="s">
        <v>4</v>
      </c>
      <c r="B4" s="1">
        <v>444766.29</v>
      </c>
      <c r="E4" s="6" t="s">
        <v>8</v>
      </c>
      <c r="F4" s="6"/>
      <c r="G4" s="6"/>
      <c r="I4" s="9"/>
      <c r="J4" s="10"/>
      <c r="K4" s="10"/>
      <c r="L4" s="11" t="s">
        <v>13</v>
      </c>
      <c r="M4" s="15">
        <f ca="1">NOW()</f>
        <v>46129.864558217596</v>
      </c>
      <c r="N4" s="15"/>
    </row>
    <row r="5" spans="1:14" x14ac:dyDescent="0.25">
      <c r="A5" s="1" t="s">
        <v>5</v>
      </c>
      <c r="B5" s="1">
        <v>708937.64999999991</v>
      </c>
      <c r="E5" t="str">
        <f>IF(F2&gt;IG2,"sim","NÃO")</f>
        <v>sim</v>
      </c>
      <c r="I5" s="8"/>
      <c r="J5" s="8"/>
      <c r="K5" s="8"/>
      <c r="L5" t="e">
        <f>DIATRABALHO</f>
        <v>#NAME?</v>
      </c>
      <c r="N5" t="s">
        <v>15</v>
      </c>
    </row>
    <row r="6" spans="1:14" x14ac:dyDescent="0.25">
      <c r="A6" s="1" t="s">
        <v>6</v>
      </c>
      <c r="B6" s="1">
        <v>630032.73</v>
      </c>
      <c r="E6" s="7" t="s">
        <v>9</v>
      </c>
      <c r="F6" s="6"/>
      <c r="G6" s="6"/>
      <c r="I6" s="8"/>
      <c r="J6" s="8"/>
      <c r="K6" s="8"/>
      <c r="L6" t="str">
        <f>RIGHT(N3,3)</f>
        <v>381</v>
      </c>
    </row>
    <row r="7" spans="1:14" x14ac:dyDescent="0.25">
      <c r="A7" s="1" t="s">
        <v>7</v>
      </c>
      <c r="B7" s="1">
        <v>413382.36000000004</v>
      </c>
      <c r="E7" t="str">
        <f>IF(B4&gt;C4&gt;D4,"Sim","Não")</f>
        <v>Sim</v>
      </c>
    </row>
    <row r="8" spans="1:14" x14ac:dyDescent="0.25">
      <c r="E8" s="6" t="s">
        <v>10</v>
      </c>
      <c r="F8" s="6"/>
      <c r="G8" s="6"/>
      <c r="H8" s="6"/>
      <c r="I8" s="6"/>
    </row>
    <row r="9" spans="1:14" x14ac:dyDescent="0.25">
      <c r="E9" s="12">
        <f>IF(F2&gt;G2,(F2-G2),"Não")</f>
        <v>88585.420000000158</v>
      </c>
    </row>
    <row r="11" spans="1:14" x14ac:dyDescent="0.25">
      <c r="E11" t="b">
        <f>AND(F2&gt;G2,H2&gt;I2)</f>
        <v>0</v>
      </c>
    </row>
    <row r="12" spans="1:14" x14ac:dyDescent="0.25">
      <c r="D12" s="13" t="s">
        <v>11</v>
      </c>
      <c r="E12" t="str">
        <f>IF(AND(F2&gt;G2,F2&gt;H2),"sim","não")</f>
        <v>sim</v>
      </c>
    </row>
    <row r="13" spans="1:14" x14ac:dyDescent="0.25">
      <c r="D13" s="13" t="s">
        <v>12</v>
      </c>
      <c r="E13" t="str">
        <f>+IF(OR(G2&gt;H2,G2&gt;I2),"sim","não")</f>
        <v>sim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TAUANI KRIESER ROCKENBACH</dc:creator>
  <cp:lastModifiedBy>TAUANI KRIESER ROCKENBACH</cp:lastModifiedBy>
  <dcterms:created xsi:type="dcterms:W3CDTF">2026-04-17T22:10:26Z</dcterms:created>
  <dcterms:modified xsi:type="dcterms:W3CDTF">2026-04-17T23:48:52Z</dcterms:modified>
</cp:coreProperties>
</file>