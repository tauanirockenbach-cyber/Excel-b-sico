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uani_rockenbach\Documents\"/>
    </mc:Choice>
  </mc:AlternateContent>
  <bookViews>
    <workbookView xWindow="0" yWindow="0" windowWidth="28800" windowHeight="12180"/>
  </bookViews>
  <sheets>
    <sheet name="Planilha1" sheetId="1" r:id="rId1"/>
  </sheets>
  <definedNames>
    <definedName name="_xlnm._FilterDatabase" localSheetId="0" hidden="1">Planilha1!$A$1:$G$17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22" i="1"/>
  <c r="B23" i="1"/>
  <c r="B24" i="1"/>
  <c r="B21" i="1"/>
  <c r="O3" i="1" l="1"/>
  <c r="P4" i="1"/>
  <c r="P5" i="1"/>
  <c r="P6" i="1"/>
  <c r="P7" i="1"/>
  <c r="P3" i="1"/>
  <c r="O4" i="1"/>
  <c r="O5" i="1"/>
  <c r="O6" i="1"/>
  <c r="O7" i="1"/>
  <c r="K4" i="1"/>
  <c r="K5" i="1"/>
  <c r="K6" i="1"/>
  <c r="K7" i="1"/>
  <c r="K3" i="1"/>
  <c r="J3" i="1"/>
  <c r="L3" i="1" s="1"/>
  <c r="J4" i="1"/>
  <c r="J5" i="1"/>
  <c r="J6" i="1"/>
  <c r="J7" i="1"/>
  <c r="E3" i="1"/>
  <c r="E2" i="1"/>
  <c r="E15" i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Q7" i="1" l="1"/>
  <c r="Q4" i="1"/>
  <c r="Q3" i="1"/>
  <c r="Q6" i="1"/>
  <c r="Q5" i="1"/>
  <c r="L7" i="1"/>
  <c r="L6" i="1"/>
  <c r="L5" i="1"/>
  <c r="L4" i="1"/>
</calcChain>
</file>

<file path=xl/sharedStrings.xml><?xml version="1.0" encoding="utf-8"?>
<sst xmlns="http://schemas.openxmlformats.org/spreadsheetml/2006/main" count="81" uniqueCount="24">
  <si>
    <t>Produto</t>
  </si>
  <si>
    <t>Categoria</t>
  </si>
  <si>
    <t>Valor Unitário</t>
  </si>
  <si>
    <t>Valor Total</t>
  </si>
  <si>
    <t>Data</t>
  </si>
  <si>
    <t>Tipo</t>
  </si>
  <si>
    <t>Parafuso Aço</t>
  </si>
  <si>
    <t>Porca Sextavada</t>
  </si>
  <si>
    <t>Chapa Metálica</t>
  </si>
  <si>
    <t>Tinta Industrial</t>
  </si>
  <si>
    <t>Lubrificante</t>
  </si>
  <si>
    <t>Fixação</t>
  </si>
  <si>
    <t>Matéria-Prima</t>
  </si>
  <si>
    <t>Acabamento</t>
  </si>
  <si>
    <t>Manutenção</t>
  </si>
  <si>
    <t>Quantidade</t>
  </si>
  <si>
    <t>Saída</t>
  </si>
  <si>
    <t>Entrada</t>
  </si>
  <si>
    <t>Saldo do estoque</t>
  </si>
  <si>
    <t>Valor</t>
  </si>
  <si>
    <t>Qual o produto com maior número de saidas?</t>
  </si>
  <si>
    <t>Parafuso</t>
  </si>
  <si>
    <t>Chapa Industrial</t>
  </si>
  <si>
    <t>Tinta Industial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</si>
</sst>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3" borderId="1" xfId="0" applyFont="1" applyFill="1" applyBorder="1"/>
    <xf numFmtId="0" fontId="0" fillId="0" borderId="1" xfId="0" applyBorder="1"/>
    <xf numFmtId="44" fontId="0" fillId="0" borderId="1" xfId="1" applyFont="1" applyBorder="1"/>
    <xf numFmtId="14" fontId="0" fillId="0" borderId="1" xfId="0" applyNumberFormat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0" xfId="0" applyBorder="1"/>
    <xf numFmtId="44" fontId="0" fillId="0" borderId="1" xfId="0" applyNumberFormat="1" applyBorder="1"/>
    <xf numFmtId="0" fontId="0" fillId="0" borderId="1" xfId="1" applyNumberFormat="1" applyFont="1" applyBorder="1"/>
    <xf numFmtId="0" fontId="0" fillId="4" borderId="1" xfId="0" applyFill="1" applyBorder="1"/>
    <xf numFmtId="0" fontId="0" fillId="4" borderId="1" xfId="1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Planilha1!$L$2</c:f>
              <c:strCache>
                <c:ptCount val="1"/>
                <c:pt idx="0">
                  <c:v>Saldo do estoque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Planilha1!$I$3:$I$7</c:f>
              <c:strCache>
                <c:ptCount val="5"/>
                <c:pt idx="0">
                  <c:v>Parafuso Aço</c:v>
                </c:pt>
                <c:pt idx="1">
                  <c:v>Porca Sextavada</c:v>
                </c:pt>
                <c:pt idx="2">
                  <c:v>Chapa Metálica</c:v>
                </c:pt>
                <c:pt idx="3">
                  <c:v>Tinta Industrial</c:v>
                </c:pt>
                <c:pt idx="4">
                  <c:v>Lubrificante</c:v>
                </c:pt>
              </c:strCache>
            </c:strRef>
          </c:cat>
          <c:val>
            <c:numRef>
              <c:f>Planilha1!$L$3:$L$7</c:f>
              <c:numCache>
                <c:formatCode>General</c:formatCode>
                <c:ptCount val="5"/>
                <c:pt idx="0">
                  <c:v>130</c:v>
                </c:pt>
                <c:pt idx="1">
                  <c:v>210</c:v>
                </c:pt>
                <c:pt idx="2">
                  <c:v>70</c:v>
                </c:pt>
                <c:pt idx="3">
                  <c:v>18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A-4866-BACD-BC104F1648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2206816"/>
        <c:axId val="472209728"/>
      </c:barChart>
      <c:catAx>
        <c:axId val="4722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2209728"/>
        <c:crosses val="autoZero"/>
        <c:auto val="1"/>
        <c:lblAlgn val="ctr"/>
        <c:lblOffset val="100"/>
        <c:noMultiLvlLbl val="0"/>
      </c:catAx>
      <c:valAx>
        <c:axId val="4722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220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11</xdr:row>
      <xdr:rowOff>66675</xdr:rowOff>
    </xdr:from>
    <xdr:to>
      <xdr:col>13</xdr:col>
      <xdr:colOff>476250</xdr:colOff>
      <xdr:row>25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C25" sqref="C25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3" width="13.7109375" bestFit="1" customWidth="1"/>
    <col min="4" max="4" width="15.7109375" bestFit="1" customWidth="1"/>
    <col min="5" max="5" width="12.85546875" bestFit="1" customWidth="1"/>
    <col min="6" max="6" width="10.7109375" bestFit="1" customWidth="1"/>
    <col min="7" max="7" width="7.7109375" bestFit="1" customWidth="1"/>
    <col min="9" max="9" width="15.42578125" bestFit="1" customWidth="1"/>
    <col min="11" max="11" width="11.42578125" bestFit="1" customWidth="1"/>
    <col min="12" max="12" width="16.42578125" bestFit="1" customWidth="1"/>
    <col min="14" max="14" width="15.42578125" bestFit="1" customWidth="1"/>
    <col min="15" max="16" width="12.140625" bestFit="1" customWidth="1"/>
    <col min="17" max="17" width="16.42578125" bestFit="1" customWidth="1"/>
  </cols>
  <sheetData>
    <row r="1" spans="1:17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I1" s="7"/>
      <c r="J1" s="8" t="s">
        <v>15</v>
      </c>
      <c r="K1" s="9"/>
      <c r="L1" s="10"/>
      <c r="N1" s="7"/>
      <c r="O1" s="9"/>
      <c r="P1" s="8" t="s">
        <v>19</v>
      </c>
      <c r="Q1" s="10"/>
    </row>
    <row r="2" spans="1:17" x14ac:dyDescent="0.25">
      <c r="A2" s="2" t="s">
        <v>6</v>
      </c>
      <c r="B2" s="2" t="s">
        <v>11</v>
      </c>
      <c r="C2" s="2">
        <v>-120</v>
      </c>
      <c r="D2" s="3">
        <v>0.5</v>
      </c>
      <c r="E2" s="12">
        <f>PRODUCT(C2,D2)</f>
        <v>-60</v>
      </c>
      <c r="F2" s="4">
        <v>46083</v>
      </c>
      <c r="G2" s="2" t="s">
        <v>16</v>
      </c>
      <c r="I2" s="6" t="s">
        <v>0</v>
      </c>
      <c r="J2" s="6" t="s">
        <v>16</v>
      </c>
      <c r="K2" s="6" t="s">
        <v>17</v>
      </c>
      <c r="L2" s="6" t="s">
        <v>18</v>
      </c>
      <c r="N2" s="6" t="s">
        <v>0</v>
      </c>
      <c r="O2" s="6" t="s">
        <v>16</v>
      </c>
      <c r="P2" s="6" t="s">
        <v>17</v>
      </c>
      <c r="Q2" s="6" t="s">
        <v>18</v>
      </c>
    </row>
    <row r="3" spans="1:17" x14ac:dyDescent="0.25">
      <c r="A3" s="2" t="s">
        <v>7</v>
      </c>
      <c r="B3" s="2" t="s">
        <v>11</v>
      </c>
      <c r="C3" s="2">
        <v>-200</v>
      </c>
      <c r="D3" s="3">
        <v>0.3</v>
      </c>
      <c r="E3" s="12">
        <f>PRODUCT(C3,D3)</f>
        <v>-60</v>
      </c>
      <c r="F3" s="4">
        <v>46083</v>
      </c>
      <c r="G3" s="2" t="s">
        <v>16</v>
      </c>
      <c r="I3" s="2" t="s">
        <v>6</v>
      </c>
      <c r="J3" s="2">
        <f>SUMIFS(C:C,A:A,I3,G:G,"Saída")</f>
        <v>-220</v>
      </c>
      <c r="K3" s="2">
        <f>SUMIFS(C:C,A:A,I3,G:G,"Entrada")</f>
        <v>350</v>
      </c>
      <c r="L3" s="2">
        <f>SUM(J3,K3)</f>
        <v>130</v>
      </c>
      <c r="N3" s="2" t="s">
        <v>6</v>
      </c>
      <c r="O3" s="3">
        <f>SUMIFS(E:E,A:A,N3,G:G,"Saída")</f>
        <v>-110</v>
      </c>
      <c r="P3" s="3">
        <f>SUMIFS(E:E,A:A,N3,G:G,"Entrada")</f>
        <v>175</v>
      </c>
      <c r="Q3" s="12">
        <f>SUM(O3,P3)</f>
        <v>65</v>
      </c>
    </row>
    <row r="4" spans="1:17" x14ac:dyDescent="0.25">
      <c r="A4" s="2" t="s">
        <v>8</v>
      </c>
      <c r="B4" s="2" t="s">
        <v>12</v>
      </c>
      <c r="C4" s="2">
        <v>50</v>
      </c>
      <c r="D4" s="3">
        <v>25</v>
      </c>
      <c r="E4" s="12">
        <f t="shared" ref="E3:E17" si="0">PRODUCT(C4,D4)</f>
        <v>1250</v>
      </c>
      <c r="F4" s="4">
        <v>46084</v>
      </c>
      <c r="G4" s="2" t="s">
        <v>17</v>
      </c>
      <c r="I4" s="2" t="s">
        <v>7</v>
      </c>
      <c r="J4" s="2">
        <f t="shared" ref="J4:J7" si="1">SUMIFS(C:C,A:A,I4,G:G,"Saída")</f>
        <v>-390</v>
      </c>
      <c r="K4" s="2">
        <f t="shared" ref="K4:K7" si="2">SUMIFS(C:C,A:A,I4,G:G,"Entrada")</f>
        <v>600</v>
      </c>
      <c r="L4" s="2">
        <f t="shared" ref="L4:L7" si="3">SUM(J4,K4)</f>
        <v>210</v>
      </c>
      <c r="N4" s="2" t="s">
        <v>7</v>
      </c>
      <c r="O4" s="3">
        <f t="shared" ref="O4:O7" si="4">SUMIFS(E:E,A:A,N4,G:G,"Saída")</f>
        <v>-117</v>
      </c>
      <c r="P4" s="3">
        <f t="shared" ref="P4:P7" si="5">SUMIFS(E:E,A:A,N4,G:G,"Entrada")</f>
        <v>180</v>
      </c>
      <c r="Q4" s="12">
        <f t="shared" ref="Q4:Q7" si="6">SUM(O4,P4)</f>
        <v>63</v>
      </c>
    </row>
    <row r="5" spans="1:17" x14ac:dyDescent="0.25">
      <c r="A5" s="2" t="s">
        <v>9</v>
      </c>
      <c r="B5" s="2" t="s">
        <v>13</v>
      </c>
      <c r="C5" s="2">
        <v>-30</v>
      </c>
      <c r="D5" s="3">
        <v>80</v>
      </c>
      <c r="E5" s="12">
        <f t="shared" si="0"/>
        <v>-2400</v>
      </c>
      <c r="F5" s="4">
        <v>46084</v>
      </c>
      <c r="G5" s="2" t="s">
        <v>16</v>
      </c>
      <c r="I5" s="2" t="s">
        <v>8</v>
      </c>
      <c r="J5" s="2">
        <f t="shared" si="1"/>
        <v>-40</v>
      </c>
      <c r="K5" s="2">
        <f t="shared" si="2"/>
        <v>110</v>
      </c>
      <c r="L5" s="2">
        <f t="shared" si="3"/>
        <v>70</v>
      </c>
      <c r="N5" s="2" t="s">
        <v>8</v>
      </c>
      <c r="O5" s="3">
        <f t="shared" si="4"/>
        <v>-1000</v>
      </c>
      <c r="P5" s="3">
        <f t="shared" si="5"/>
        <v>2750</v>
      </c>
      <c r="Q5" s="12">
        <f t="shared" si="6"/>
        <v>1750</v>
      </c>
    </row>
    <row r="6" spans="1:17" x14ac:dyDescent="0.25">
      <c r="A6" s="2" t="s">
        <v>6</v>
      </c>
      <c r="B6" s="2" t="s">
        <v>11</v>
      </c>
      <c r="C6" s="2">
        <v>350</v>
      </c>
      <c r="D6" s="3">
        <v>0.5</v>
      </c>
      <c r="E6" s="12">
        <f t="shared" si="0"/>
        <v>175</v>
      </c>
      <c r="F6" s="4">
        <v>46085</v>
      </c>
      <c r="G6" s="2" t="s">
        <v>17</v>
      </c>
      <c r="I6" s="2" t="s">
        <v>9</v>
      </c>
      <c r="J6" s="2">
        <f t="shared" si="1"/>
        <v>-50</v>
      </c>
      <c r="K6" s="2">
        <f t="shared" si="2"/>
        <v>68</v>
      </c>
      <c r="L6" s="2">
        <f t="shared" si="3"/>
        <v>18</v>
      </c>
      <c r="N6" s="2" t="s">
        <v>9</v>
      </c>
      <c r="O6" s="3">
        <f t="shared" si="4"/>
        <v>-4000</v>
      </c>
      <c r="P6" s="3">
        <f t="shared" si="5"/>
        <v>5440</v>
      </c>
      <c r="Q6" s="12">
        <f t="shared" si="6"/>
        <v>1440</v>
      </c>
    </row>
    <row r="7" spans="1:17" x14ac:dyDescent="0.25">
      <c r="A7" s="2" t="s">
        <v>7</v>
      </c>
      <c r="B7" s="2" t="s">
        <v>11</v>
      </c>
      <c r="C7" s="2">
        <v>-30</v>
      </c>
      <c r="D7" s="3">
        <v>0.3</v>
      </c>
      <c r="E7" s="12">
        <f t="shared" si="0"/>
        <v>-9</v>
      </c>
      <c r="F7" s="4">
        <v>46085</v>
      </c>
      <c r="G7" s="2" t="s">
        <v>16</v>
      </c>
      <c r="I7" s="2" t="s">
        <v>10</v>
      </c>
      <c r="J7" s="2">
        <f t="shared" si="1"/>
        <v>-30</v>
      </c>
      <c r="K7" s="2">
        <f t="shared" si="2"/>
        <v>45</v>
      </c>
      <c r="L7" s="2">
        <f t="shared" si="3"/>
        <v>15</v>
      </c>
      <c r="N7" s="2" t="s">
        <v>10</v>
      </c>
      <c r="O7" s="3">
        <f t="shared" si="4"/>
        <v>-1350</v>
      </c>
      <c r="P7" s="3">
        <f t="shared" si="5"/>
        <v>2025</v>
      </c>
      <c r="Q7" s="12">
        <f t="shared" si="6"/>
        <v>675</v>
      </c>
    </row>
    <row r="8" spans="1:17" x14ac:dyDescent="0.25">
      <c r="A8" s="2" t="s">
        <v>10</v>
      </c>
      <c r="B8" s="2" t="s">
        <v>14</v>
      </c>
      <c r="C8" s="2">
        <v>-20</v>
      </c>
      <c r="D8" s="3">
        <v>45</v>
      </c>
      <c r="E8" s="12">
        <f t="shared" si="0"/>
        <v>-900</v>
      </c>
      <c r="F8" s="4">
        <v>46085</v>
      </c>
      <c r="G8" s="2" t="s">
        <v>16</v>
      </c>
    </row>
    <row r="9" spans="1:17" x14ac:dyDescent="0.25">
      <c r="A9" s="2" t="s">
        <v>9</v>
      </c>
      <c r="B9" s="2" t="s">
        <v>13</v>
      </c>
      <c r="C9" s="2">
        <v>68</v>
      </c>
      <c r="D9" s="3">
        <v>80</v>
      </c>
      <c r="E9" s="12">
        <f t="shared" si="0"/>
        <v>5440</v>
      </c>
      <c r="F9" s="4">
        <v>46086</v>
      </c>
      <c r="G9" s="2" t="s">
        <v>17</v>
      </c>
    </row>
    <row r="10" spans="1:17" x14ac:dyDescent="0.25">
      <c r="A10" s="2" t="s">
        <v>8</v>
      </c>
      <c r="B10" s="2" t="s">
        <v>12</v>
      </c>
      <c r="C10" s="2">
        <v>-40</v>
      </c>
      <c r="D10" s="3">
        <v>25</v>
      </c>
      <c r="E10" s="12">
        <f t="shared" si="0"/>
        <v>-1000</v>
      </c>
      <c r="F10" s="4">
        <v>46086</v>
      </c>
      <c r="G10" s="2" t="s">
        <v>16</v>
      </c>
    </row>
    <row r="11" spans="1:17" x14ac:dyDescent="0.25">
      <c r="A11" s="2" t="s">
        <v>7</v>
      </c>
      <c r="B11" s="2" t="s">
        <v>11</v>
      </c>
      <c r="C11" s="2">
        <v>600</v>
      </c>
      <c r="D11" s="3">
        <v>0.3</v>
      </c>
      <c r="E11" s="12">
        <f t="shared" si="0"/>
        <v>180</v>
      </c>
      <c r="F11" s="4">
        <v>46087</v>
      </c>
      <c r="G11" s="2" t="s">
        <v>17</v>
      </c>
    </row>
    <row r="12" spans="1:17" x14ac:dyDescent="0.25">
      <c r="A12" s="2" t="s">
        <v>10</v>
      </c>
      <c r="B12" s="2" t="s">
        <v>14</v>
      </c>
      <c r="C12" s="2">
        <v>45</v>
      </c>
      <c r="D12" s="3">
        <v>45</v>
      </c>
      <c r="E12" s="12">
        <f t="shared" si="0"/>
        <v>2025</v>
      </c>
      <c r="F12" s="4">
        <v>46087</v>
      </c>
      <c r="G12" s="2" t="s">
        <v>17</v>
      </c>
      <c r="L12" s="11"/>
    </row>
    <row r="13" spans="1:17" x14ac:dyDescent="0.25">
      <c r="A13" s="2" t="s">
        <v>8</v>
      </c>
      <c r="B13" s="2" t="s">
        <v>12</v>
      </c>
      <c r="C13" s="2">
        <v>60</v>
      </c>
      <c r="D13" s="3">
        <v>25</v>
      </c>
      <c r="E13" s="12">
        <f t="shared" si="0"/>
        <v>1500</v>
      </c>
      <c r="F13" s="4">
        <v>46088</v>
      </c>
      <c r="G13" s="2" t="s">
        <v>17</v>
      </c>
    </row>
    <row r="14" spans="1:17" x14ac:dyDescent="0.25">
      <c r="A14" s="2" t="s">
        <v>6</v>
      </c>
      <c r="B14" s="2" t="s">
        <v>11</v>
      </c>
      <c r="C14" s="2">
        <v>-100</v>
      </c>
      <c r="D14" s="3">
        <v>0.5</v>
      </c>
      <c r="E14" s="12">
        <f t="shared" si="0"/>
        <v>-50</v>
      </c>
      <c r="F14" s="4">
        <v>46088</v>
      </c>
      <c r="G14" s="2" t="s">
        <v>16</v>
      </c>
    </row>
    <row r="15" spans="1:17" x14ac:dyDescent="0.25">
      <c r="A15" s="2" t="s">
        <v>9</v>
      </c>
      <c r="B15" s="2" t="s">
        <v>13</v>
      </c>
      <c r="C15" s="2">
        <v>-20</v>
      </c>
      <c r="D15" s="3">
        <v>80</v>
      </c>
      <c r="E15" s="12">
        <f>PRODUCT(C15,D15)</f>
        <v>-1600</v>
      </c>
      <c r="F15" s="4">
        <v>46089</v>
      </c>
      <c r="G15" s="2" t="s">
        <v>16</v>
      </c>
    </row>
    <row r="16" spans="1:17" x14ac:dyDescent="0.25">
      <c r="A16" s="2" t="s">
        <v>7</v>
      </c>
      <c r="B16" s="2" t="s">
        <v>11</v>
      </c>
      <c r="C16" s="2">
        <v>-160</v>
      </c>
      <c r="D16" s="3">
        <v>0.3</v>
      </c>
      <c r="E16" s="12">
        <f t="shared" si="0"/>
        <v>-48</v>
      </c>
      <c r="F16" s="4">
        <v>46089</v>
      </c>
      <c r="G16" s="2" t="s">
        <v>16</v>
      </c>
    </row>
    <row r="17" spans="1:7" x14ac:dyDescent="0.25">
      <c r="A17" s="2" t="s">
        <v>10</v>
      </c>
      <c r="B17" s="2" t="s">
        <v>14</v>
      </c>
      <c r="C17" s="2">
        <v>-10</v>
      </c>
      <c r="D17" s="3">
        <v>45</v>
      </c>
      <c r="E17" s="12">
        <f t="shared" si="0"/>
        <v>-450</v>
      </c>
      <c r="F17" s="4">
        <v>46090</v>
      </c>
      <c r="G17" s="2" t="s">
        <v>16</v>
      </c>
    </row>
    <row r="20" spans="1:7" x14ac:dyDescent="0.25">
      <c r="A20" s="5" t="s">
        <v>20</v>
      </c>
      <c r="B20" s="5"/>
      <c r="C20" s="5"/>
    </row>
    <row r="21" spans="1:7" x14ac:dyDescent="0.25">
      <c r="A21" s="2" t="s">
        <v>21</v>
      </c>
      <c r="B21" s="13">
        <f>COUNTIFS(G:G,G2,A:A,I3)</f>
        <v>2</v>
      </c>
      <c r="C21" s="11"/>
    </row>
    <row r="22" spans="1:7" x14ac:dyDescent="0.25">
      <c r="A22" s="14" t="s">
        <v>7</v>
      </c>
      <c r="B22" s="15">
        <f t="shared" ref="B22:B25" si="7">COUNTIFS(G:G,G3,A:A,I4)</f>
        <v>3</v>
      </c>
      <c r="C22" s="11"/>
    </row>
    <row r="23" spans="1:7" x14ac:dyDescent="0.25">
      <c r="A23" s="2" t="s">
        <v>22</v>
      </c>
      <c r="B23" s="13">
        <f t="shared" si="7"/>
        <v>2</v>
      </c>
      <c r="C23" s="11"/>
    </row>
    <row r="24" spans="1:7" x14ac:dyDescent="0.25">
      <c r="A24" s="2" t="s">
        <v>23</v>
      </c>
      <c r="B24" s="13">
        <f t="shared" si="7"/>
        <v>2</v>
      </c>
      <c r="C24" s="11"/>
    </row>
    <row r="25" spans="1:7" x14ac:dyDescent="0.25">
      <c r="A25" s="2" t="s">
        <v>10</v>
      </c>
      <c r="B25" s="13">
        <f t="shared" si="7"/>
        <v>1</v>
      </c>
      <c r="C25" s="11"/>
    </row>
  </sheetData>
  <autoFilter ref="A1:G17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TAUANI KRIESER ROCKENBACH</dc:creator>
  <cp:lastModifiedBy>TAUANI KRIESER ROCKENBACH</cp:lastModifiedBy>
  <dcterms:created xsi:type="dcterms:W3CDTF">2026-04-24T21:20:40Z</dcterms:created>
  <dcterms:modified xsi:type="dcterms:W3CDTF">2026-04-24T23:41:48Z</dcterms:modified>
</cp:coreProperties>
</file>