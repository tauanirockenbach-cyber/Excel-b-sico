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ani_rockenbach\Downloads\"/>
    </mc:Choice>
  </mc:AlternateContent>
  <bookViews>
    <workbookView xWindow="0" yWindow="0" windowWidth="28800" windowHeight="121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2" i="1"/>
  <c r="O3" i="1"/>
  <c r="O4" i="1"/>
  <c r="O5" i="1"/>
  <c r="O6" i="1"/>
  <c r="O7" i="1"/>
  <c r="O2" i="1"/>
  <c r="L4" i="1"/>
  <c r="L3" i="1"/>
  <c r="L5" i="1"/>
  <c r="L6" i="1"/>
  <c r="L7" i="1"/>
  <c r="L8" i="1"/>
  <c r="L9" i="1"/>
  <c r="L10" i="1"/>
  <c r="L11" i="1"/>
  <c r="L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<sst xmlns="http://schemas.openxmlformats.org/spreadsheetml/2006/main" count="847" uniqueCount="151">
  <si>
    <t>Data</t>
  </si>
  <si>
    <t>Produto</t>
  </si>
  <si>
    <t>Quantidade</t>
  </si>
  <si>
    <t>Preço Unitário</t>
  </si>
  <si>
    <t>Total</t>
  </si>
  <si>
    <t>Vendedor</t>
  </si>
  <si>
    <t>Cidade</t>
  </si>
  <si>
    <t>01/05/2025</t>
  </si>
  <si>
    <t>23/03/2025</t>
  </si>
  <si>
    <t>27/01/2025</t>
  </si>
  <si>
    <t>09/05/2025</t>
  </si>
  <si>
    <t>24/06/2025</t>
  </si>
  <si>
    <t>08/04/2025</t>
  </si>
  <si>
    <t>05/02/2025</t>
  </si>
  <si>
    <t>22/01/2025</t>
  </si>
  <si>
    <t>15/05/2025</t>
  </si>
  <si>
    <t>15/04/2025</t>
  </si>
  <si>
    <t>06/04/2025</t>
  </si>
  <si>
    <t>17/05/2025</t>
  </si>
  <si>
    <t>04/02/2025</t>
  </si>
  <si>
    <t>21/01/2025</t>
  </si>
  <si>
    <t>15/02/2025</t>
  </si>
  <si>
    <t>07/05/2025</t>
  </si>
  <si>
    <t>01/06/2025</t>
  </si>
  <si>
    <t>08/05/2025</t>
  </si>
  <si>
    <t>19/06/2025</t>
  </si>
  <si>
    <t>17/04/2025</t>
  </si>
  <si>
    <t>09/06/2025</t>
  </si>
  <si>
    <t>22/06/2025</t>
  </si>
  <si>
    <t>05/05/2025</t>
  </si>
  <si>
    <t>07/03/2025</t>
  </si>
  <si>
    <t>14/06/2025</t>
  </si>
  <si>
    <t>31/01/2025</t>
  </si>
  <si>
    <t>08/02/2025</t>
  </si>
  <si>
    <t>03/04/2025</t>
  </si>
  <si>
    <t>20/05/2025</t>
  </si>
  <si>
    <t>15/01/2025</t>
  </si>
  <si>
    <t>04/04/2025</t>
  </si>
  <si>
    <t>16/01/2025</t>
  </si>
  <si>
    <t>27/02/2025</t>
  </si>
  <si>
    <t>13/05/2025</t>
  </si>
  <si>
    <t>12/03/2025</t>
  </si>
  <si>
    <t>11/06/2025</t>
  </si>
  <si>
    <t>09/02/2025</t>
  </si>
  <si>
    <t>09/03/2025</t>
  </si>
  <si>
    <t>25/03/2025</t>
  </si>
  <si>
    <t>13/06/2025</t>
  </si>
  <si>
    <t>25/04/2025</t>
  </si>
  <si>
    <t>18/03/2025</t>
  </si>
  <si>
    <t>22/05/2025</t>
  </si>
  <si>
    <t>30/06/2025</t>
  </si>
  <si>
    <t>22/03/2025</t>
  </si>
  <si>
    <t>12/05/2025</t>
  </si>
  <si>
    <t>21/06/2025</t>
  </si>
  <si>
    <t>26/05/2025</t>
  </si>
  <si>
    <t>29/04/2025</t>
  </si>
  <si>
    <t>09/01/2025</t>
  </si>
  <si>
    <t>23/06/2025</t>
  </si>
  <si>
    <t>10/03/2025</t>
  </si>
  <si>
    <t>18/02/2025</t>
  </si>
  <si>
    <t>04/05/2025</t>
  </si>
  <si>
    <t>13/02/2025</t>
  </si>
  <si>
    <t>16/03/2025</t>
  </si>
  <si>
    <t>28/03/2025</t>
  </si>
  <si>
    <t>30/03/2025</t>
  </si>
  <si>
    <t>19/02/2025</t>
  </si>
  <si>
    <t>07/06/2025</t>
  </si>
  <si>
    <t>26/01/2025</t>
  </si>
  <si>
    <t>28/02/2025</t>
  </si>
  <si>
    <t>25/01/2025</t>
  </si>
  <si>
    <t>29/05/2025</t>
  </si>
  <si>
    <t>17/02/2025</t>
  </si>
  <si>
    <t>28/01/2025</t>
  </si>
  <si>
    <t>05/01/2025</t>
  </si>
  <si>
    <t>14/05/2025</t>
  </si>
  <si>
    <t>12/06/2025</t>
  </si>
  <si>
    <t>06/05/2025</t>
  </si>
  <si>
    <t>12/04/2025</t>
  </si>
  <si>
    <t>03/02/2025</t>
  </si>
  <si>
    <t>13/03/2025</t>
  </si>
  <si>
    <t>10/04/2025</t>
  </si>
  <si>
    <t>23/02/2025</t>
  </si>
  <si>
    <t>30/05/2025</t>
  </si>
  <si>
    <t>11/01/2025</t>
  </si>
  <si>
    <t>17/01/2025</t>
  </si>
  <si>
    <t>04/06/2025</t>
  </si>
  <si>
    <t>05/04/2025</t>
  </si>
  <si>
    <t>27/04/2025</t>
  </si>
  <si>
    <t>19/04/2025</t>
  </si>
  <si>
    <t>14/02/2025</t>
  </si>
  <si>
    <t>07/04/2025</t>
  </si>
  <si>
    <t>10/02/2025</t>
  </si>
  <si>
    <t>23/04/2025</t>
  </si>
  <si>
    <t>24/01/2025</t>
  </si>
  <si>
    <t>16/04/2025</t>
  </si>
  <si>
    <t>08/03/2025</t>
  </si>
  <si>
    <t>03/01/2025</t>
  </si>
  <si>
    <t>02/05/2025</t>
  </si>
  <si>
    <t>24/05/2025</t>
  </si>
  <si>
    <t>23/01/2025</t>
  </si>
  <si>
    <t>06/03/2025</t>
  </si>
  <si>
    <t>27/05/2025</t>
  </si>
  <si>
    <t>27/06/2025</t>
  </si>
  <si>
    <t>01/02/2025</t>
  </si>
  <si>
    <t>26/03/2025</t>
  </si>
  <si>
    <t>22/02/2025</t>
  </si>
  <si>
    <t>06/01/2025</t>
  </si>
  <si>
    <t>03/05/2025</t>
  </si>
  <si>
    <t>10/01/2025</t>
  </si>
  <si>
    <t>28/06/2025</t>
  </si>
  <si>
    <t>11/04/2025</t>
  </si>
  <si>
    <t>17/03/2025</t>
  </si>
  <si>
    <t>21/02/2025</t>
  </si>
  <si>
    <t>27/03/2025</t>
  </si>
  <si>
    <t>10/05/2025</t>
  </si>
  <si>
    <t>02/04/2025</t>
  </si>
  <si>
    <t>25/05/2025</t>
  </si>
  <si>
    <t>12/02/2025</t>
  </si>
  <si>
    <t>02/03/2025</t>
  </si>
  <si>
    <t>20/02/2025</t>
  </si>
  <si>
    <t>07/02/2025</t>
  </si>
  <si>
    <t>24/03/2025</t>
  </si>
  <si>
    <t>25/06/2025</t>
  </si>
  <si>
    <t>14/01/2025</t>
  </si>
  <si>
    <t>16/05/2025</t>
  </si>
  <si>
    <t>04/03/2025</t>
  </si>
  <si>
    <t>Cadeira</t>
  </si>
  <si>
    <t>HD Externo</t>
  </si>
  <si>
    <t>SSD</t>
  </si>
  <si>
    <t>Monitor</t>
  </si>
  <si>
    <t>Webcam</t>
  </si>
  <si>
    <t>Headset</t>
  </si>
  <si>
    <t>Impressora</t>
  </si>
  <si>
    <t>Mouse</t>
  </si>
  <si>
    <t>Teclado</t>
  </si>
  <si>
    <t>Notebook</t>
  </si>
  <si>
    <t>Ana</t>
  </si>
  <si>
    <t>Eduardo</t>
  </si>
  <si>
    <t>Daniela</t>
  </si>
  <si>
    <t>Fernanda</t>
  </si>
  <si>
    <t>Bruno</t>
  </si>
  <si>
    <t>Carlos</t>
  </si>
  <si>
    <t>Criciúma</t>
  </si>
  <si>
    <t>Florianópolis</t>
  </si>
  <si>
    <t>Chapecó</t>
  </si>
  <si>
    <t>Joinville</t>
  </si>
  <si>
    <t>Blumenau</t>
  </si>
  <si>
    <t>Cont.ses</t>
  </si>
  <si>
    <t>Valor_Venda</t>
  </si>
  <si>
    <t>Valor_Venda_por_Cidade</t>
  </si>
  <si>
    <t>Cont.se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</si>
</sst>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2" applyNumberFormat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2" applyFont="1" applyBorder="1"/>
    <xf numFmtId="43" fontId="0" fillId="0" borderId="1" xfId="1" applyFont="1" applyBorder="1"/>
    <xf numFmtId="0" fontId="1" fillId="3" borderId="1" xfId="0" applyFont="1" applyFill="1" applyBorder="1" applyAlignment="1">
      <alignment horizontal="center" vertical="top"/>
    </xf>
    <xf numFmtId="0" fontId="3" fillId="2" borderId="2" xfId="3"/>
  </cellXfs>
  <cellStyles count="4">
    <cellStyle name="Cálculo" xfId="3" builtinId="22"/>
    <cellStyle name="Moeda" xfId="2" builtinId="4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1"/>
  <sheetViews>
    <sheetView tabSelected="1" topLeftCell="D1" workbookViewId="0">
      <selection activeCell="M17" activeCellId="1" sqref="N1:O7 M17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11.42578125" bestFit="1" customWidth="1"/>
    <col min="4" max="4" width="13.85546875" bestFit="1" customWidth="1"/>
    <col min="5" max="5" width="9" bestFit="1" customWidth="1"/>
    <col min="6" max="6" width="9.85546875" bestFit="1" customWidth="1"/>
    <col min="7" max="7" width="12.5703125" bestFit="1" customWidth="1"/>
    <col min="9" max="9" width="10.85546875" bestFit="1" customWidth="1"/>
    <col min="11" max="11" width="12.5703125" bestFit="1" customWidth="1"/>
    <col min="14" max="14" width="9.85546875" bestFit="1" customWidth="1"/>
    <col min="15" max="15" width="14.28515625" bestFit="1" customWidth="1"/>
    <col min="16" max="16" width="12.5703125" bestFit="1" customWidth="1"/>
    <col min="17" max="17" width="23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5" t="s">
        <v>1</v>
      </c>
      <c r="J1" s="5" t="s">
        <v>150</v>
      </c>
      <c r="K1" s="5" t="s">
        <v>6</v>
      </c>
      <c r="L1" s="5" t="s">
        <v>147</v>
      </c>
      <c r="N1" s="5" t="s">
        <v>5</v>
      </c>
      <c r="O1" s="5" t="s">
        <v>148</v>
      </c>
      <c r="P1" s="5" t="s">
        <v>6</v>
      </c>
      <c r="Q1" s="5" t="s">
        <v>149</v>
      </c>
    </row>
    <row r="2" spans="1:21" x14ac:dyDescent="0.25">
      <c r="A2" s="2" t="s">
        <v>7</v>
      </c>
      <c r="B2" s="2" t="s">
        <v>126</v>
      </c>
      <c r="C2" s="2">
        <v>13</v>
      </c>
      <c r="D2" s="2">
        <v>1329.92</v>
      </c>
      <c r="E2" s="2">
        <v>17288.96</v>
      </c>
      <c r="F2" s="2" t="s">
        <v>136</v>
      </c>
      <c r="G2" s="2" t="s">
        <v>142</v>
      </c>
      <c r="I2" s="2" t="s">
        <v>126</v>
      </c>
      <c r="J2" s="2">
        <f>COUNTIF(B:B,I2)</f>
        <v>17</v>
      </c>
      <c r="K2" s="2" t="s">
        <v>146</v>
      </c>
      <c r="L2" s="2">
        <f>COUNTIFS(G:G,K2,B:B,I2)</f>
        <v>2</v>
      </c>
      <c r="N2" s="2" t="s">
        <v>136</v>
      </c>
      <c r="O2" s="3">
        <f>SUMIF(F:F,N2,E:E)</f>
        <v>764599.76</v>
      </c>
      <c r="P2" s="2" t="s">
        <v>146</v>
      </c>
      <c r="Q2" s="4">
        <f>SUMIFS(E:E,G:G,P2,F:F,N2)</f>
        <v>175008.63</v>
      </c>
    </row>
    <row r="3" spans="1:21" x14ac:dyDescent="0.25">
      <c r="A3" s="2" t="s">
        <v>8</v>
      </c>
      <c r="B3" s="2" t="s">
        <v>127</v>
      </c>
      <c r="C3" s="2">
        <v>6</v>
      </c>
      <c r="D3" s="2">
        <v>1530.24</v>
      </c>
      <c r="E3" s="2">
        <v>9181.44</v>
      </c>
      <c r="F3" s="2" t="s">
        <v>137</v>
      </c>
      <c r="G3" s="2" t="s">
        <v>143</v>
      </c>
      <c r="I3" s="2" t="s">
        <v>127</v>
      </c>
      <c r="J3" s="2">
        <f t="shared" ref="J3:J11" si="0">COUNTIF(B:B,I3)</f>
        <v>22</v>
      </c>
      <c r="K3" s="2" t="s">
        <v>144</v>
      </c>
      <c r="L3" s="2">
        <f>COUNTIFS(G:G,K3,B:B,I3)</f>
        <v>5</v>
      </c>
      <c r="N3" s="2" t="s">
        <v>137</v>
      </c>
      <c r="O3" s="3">
        <f t="shared" ref="O3:O7" si="1">SUMIF(F:F,N3,E:E)</f>
        <v>676014.33999999985</v>
      </c>
      <c r="P3" s="2" t="s">
        <v>144</v>
      </c>
      <c r="Q3" s="4">
        <f t="shared" ref="Q3:Q7" si="2">SUMIFS(E:E,G:G,P3,F:F,N3)</f>
        <v>49529.899999999994</v>
      </c>
    </row>
    <row r="4" spans="1:21" x14ac:dyDescent="0.25">
      <c r="A4" s="2" t="s">
        <v>9</v>
      </c>
      <c r="B4" s="2" t="s">
        <v>128</v>
      </c>
      <c r="C4" s="2">
        <v>9</v>
      </c>
      <c r="D4" s="2">
        <v>321.86</v>
      </c>
      <c r="E4" s="2">
        <v>2896.74</v>
      </c>
      <c r="F4" s="2" t="s">
        <v>138</v>
      </c>
      <c r="G4" s="2" t="s">
        <v>143</v>
      </c>
      <c r="I4" s="2" t="s">
        <v>131</v>
      </c>
      <c r="J4" s="2">
        <f t="shared" si="0"/>
        <v>20</v>
      </c>
      <c r="K4" s="2" t="s">
        <v>142</v>
      </c>
      <c r="L4" s="2">
        <f>COUNTIFS(G:G,K4,B:B,I4)</f>
        <v>2</v>
      </c>
      <c r="N4" s="2" t="s">
        <v>138</v>
      </c>
      <c r="O4" s="3">
        <f t="shared" si="1"/>
        <v>444766.29</v>
      </c>
      <c r="P4" s="2" t="s">
        <v>142</v>
      </c>
      <c r="Q4" s="4">
        <f t="shared" si="2"/>
        <v>74899.010000000009</v>
      </c>
    </row>
    <row r="5" spans="1:21" x14ac:dyDescent="0.25">
      <c r="A5" s="2" t="s">
        <v>10</v>
      </c>
      <c r="B5" s="2" t="s">
        <v>126</v>
      </c>
      <c r="C5" s="2">
        <v>4</v>
      </c>
      <c r="D5" s="2">
        <v>177.81</v>
      </c>
      <c r="E5" s="2">
        <v>711.24</v>
      </c>
      <c r="F5" s="2" t="s">
        <v>138</v>
      </c>
      <c r="G5" s="2" t="s">
        <v>144</v>
      </c>
      <c r="I5" s="2" t="s">
        <v>132</v>
      </c>
      <c r="J5" s="2">
        <f t="shared" si="0"/>
        <v>21</v>
      </c>
      <c r="K5" s="2" t="s">
        <v>143</v>
      </c>
      <c r="L5" s="2">
        <f>COUNTIFS(G:G,K5,B:B,I5)</f>
        <v>4</v>
      </c>
      <c r="N5" s="2" t="s">
        <v>139</v>
      </c>
      <c r="O5" s="3">
        <f t="shared" si="1"/>
        <v>708937.64999999991</v>
      </c>
      <c r="P5" s="2" t="s">
        <v>145</v>
      </c>
      <c r="Q5" s="4">
        <f t="shared" si="2"/>
        <v>115385.18</v>
      </c>
    </row>
    <row r="6" spans="1:21" x14ac:dyDescent="0.25">
      <c r="A6" s="2" t="s">
        <v>11</v>
      </c>
      <c r="B6" s="2" t="s">
        <v>129</v>
      </c>
      <c r="C6" s="2">
        <v>9</v>
      </c>
      <c r="D6" s="2">
        <v>2194.4499999999998</v>
      </c>
      <c r="E6" s="2">
        <v>19750.05</v>
      </c>
      <c r="F6" s="2" t="s">
        <v>139</v>
      </c>
      <c r="G6" s="2" t="s">
        <v>142</v>
      </c>
      <c r="I6" s="2" t="s">
        <v>129</v>
      </c>
      <c r="J6" s="2">
        <f t="shared" si="0"/>
        <v>22</v>
      </c>
      <c r="K6" s="2" t="s">
        <v>145</v>
      </c>
      <c r="L6" s="2">
        <f>COUNTIFS(G:G,K6,B:B,I6)</f>
        <v>3</v>
      </c>
      <c r="N6" s="2" t="s">
        <v>140</v>
      </c>
      <c r="O6" s="3">
        <f t="shared" si="1"/>
        <v>630032.73</v>
      </c>
      <c r="P6" s="2" t="s">
        <v>143</v>
      </c>
      <c r="Q6" s="4">
        <f t="shared" si="2"/>
        <v>95370.43</v>
      </c>
    </row>
    <row r="7" spans="1:21" x14ac:dyDescent="0.25">
      <c r="A7" s="2" t="s">
        <v>12</v>
      </c>
      <c r="B7" s="2" t="s">
        <v>130</v>
      </c>
      <c r="C7" s="2">
        <v>5</v>
      </c>
      <c r="D7" s="2">
        <v>3086.21</v>
      </c>
      <c r="E7" s="2">
        <v>15431.05</v>
      </c>
      <c r="F7" s="2" t="s">
        <v>137</v>
      </c>
      <c r="G7" s="2" t="s">
        <v>144</v>
      </c>
      <c r="I7" s="2" t="s">
        <v>133</v>
      </c>
      <c r="J7" s="2">
        <f t="shared" si="0"/>
        <v>19</v>
      </c>
      <c r="K7" s="2" t="s">
        <v>146</v>
      </c>
      <c r="L7" s="2">
        <f>COUNTIFS(G:G,K7,B:B,I7)</f>
        <v>2</v>
      </c>
      <c r="N7" s="2" t="s">
        <v>141</v>
      </c>
      <c r="O7" s="3">
        <f t="shared" si="1"/>
        <v>413382.36000000004</v>
      </c>
      <c r="P7" s="2" t="s">
        <v>146</v>
      </c>
      <c r="Q7" s="4">
        <f t="shared" si="2"/>
        <v>101387.34</v>
      </c>
    </row>
    <row r="8" spans="1:21" x14ac:dyDescent="0.25">
      <c r="A8" s="2" t="s">
        <v>13</v>
      </c>
      <c r="B8" s="2" t="s">
        <v>129</v>
      </c>
      <c r="C8" s="2">
        <v>16</v>
      </c>
      <c r="D8" s="2">
        <v>3419.57</v>
      </c>
      <c r="E8" s="2">
        <v>54713.120000000003</v>
      </c>
      <c r="F8" s="2" t="s">
        <v>140</v>
      </c>
      <c r="G8" s="2" t="s">
        <v>142</v>
      </c>
      <c r="I8" s="2" t="s">
        <v>135</v>
      </c>
      <c r="J8" s="2">
        <f t="shared" si="0"/>
        <v>20</v>
      </c>
      <c r="K8" s="2" t="s">
        <v>144</v>
      </c>
      <c r="L8" s="2">
        <f>COUNTIFS(G:G,K8,B:B,I8)</f>
        <v>2</v>
      </c>
    </row>
    <row r="9" spans="1:21" x14ac:dyDescent="0.25">
      <c r="A9" s="2" t="s">
        <v>14</v>
      </c>
      <c r="B9" s="2" t="s">
        <v>131</v>
      </c>
      <c r="C9" s="2">
        <v>4</v>
      </c>
      <c r="D9" s="2">
        <v>458.43</v>
      </c>
      <c r="E9" s="2">
        <v>1833.72</v>
      </c>
      <c r="F9" s="2" t="s">
        <v>137</v>
      </c>
      <c r="G9" s="2" t="s">
        <v>142</v>
      </c>
      <c r="I9" s="2" t="s">
        <v>128</v>
      </c>
      <c r="J9" s="2">
        <f t="shared" si="0"/>
        <v>23</v>
      </c>
      <c r="K9" s="2" t="s">
        <v>142</v>
      </c>
      <c r="L9" s="2">
        <f>COUNTIFS(G:G,K9,B:B,I9)</f>
        <v>4</v>
      </c>
    </row>
    <row r="10" spans="1:21" x14ac:dyDescent="0.25">
      <c r="A10" s="2" t="s">
        <v>15</v>
      </c>
      <c r="B10" s="2" t="s">
        <v>131</v>
      </c>
      <c r="C10" s="2">
        <v>8</v>
      </c>
      <c r="D10" s="2">
        <v>492.21</v>
      </c>
      <c r="E10" s="2">
        <v>3937.68</v>
      </c>
      <c r="F10" s="2" t="s">
        <v>139</v>
      </c>
      <c r="G10" s="2" t="s">
        <v>145</v>
      </c>
      <c r="I10" s="2" t="s">
        <v>134</v>
      </c>
      <c r="J10" s="2">
        <f t="shared" si="0"/>
        <v>15</v>
      </c>
      <c r="K10" s="2" t="s">
        <v>143</v>
      </c>
      <c r="L10" s="2">
        <f>COUNTIFS(G:G,K10,B:B,I10)</f>
        <v>5</v>
      </c>
    </row>
    <row r="11" spans="1:21" x14ac:dyDescent="0.25">
      <c r="A11" s="2" t="s">
        <v>16</v>
      </c>
      <c r="B11" s="2" t="s">
        <v>132</v>
      </c>
      <c r="C11" s="2">
        <v>18</v>
      </c>
      <c r="D11" s="2">
        <v>1875.55</v>
      </c>
      <c r="E11" s="2">
        <v>33759.9</v>
      </c>
      <c r="F11" s="2" t="s">
        <v>140</v>
      </c>
      <c r="G11" s="2" t="s">
        <v>146</v>
      </c>
      <c r="I11" s="2" t="s">
        <v>130</v>
      </c>
      <c r="J11" s="2">
        <f t="shared" si="0"/>
        <v>21</v>
      </c>
      <c r="K11" s="2" t="s">
        <v>145</v>
      </c>
      <c r="L11" s="2">
        <f>COUNTIFS(G:G,K11,B:B,I11)</f>
        <v>4</v>
      </c>
    </row>
    <row r="12" spans="1:21" x14ac:dyDescent="0.25">
      <c r="A12" s="2" t="s">
        <v>17</v>
      </c>
      <c r="B12" s="2" t="s">
        <v>132</v>
      </c>
      <c r="C12" s="2">
        <v>19</v>
      </c>
      <c r="D12" s="2">
        <v>1075.56</v>
      </c>
      <c r="E12" s="2">
        <v>20435.64</v>
      </c>
      <c r="F12" s="2" t="s">
        <v>139</v>
      </c>
      <c r="G12" s="2" t="s">
        <v>142</v>
      </c>
    </row>
    <row r="13" spans="1:21" x14ac:dyDescent="0.25">
      <c r="A13" s="2" t="s">
        <v>18</v>
      </c>
      <c r="B13" s="2" t="s">
        <v>128</v>
      </c>
      <c r="C13" s="2">
        <v>4</v>
      </c>
      <c r="D13" s="2">
        <v>3172.08</v>
      </c>
      <c r="E13" s="2">
        <v>12688.32</v>
      </c>
      <c r="F13" s="2" t="s">
        <v>141</v>
      </c>
      <c r="G13" s="2" t="s">
        <v>146</v>
      </c>
    </row>
    <row r="14" spans="1:21" x14ac:dyDescent="0.25">
      <c r="A14" s="2" t="s">
        <v>19</v>
      </c>
      <c r="B14" s="2" t="s">
        <v>130</v>
      </c>
      <c r="C14" s="2">
        <v>1</v>
      </c>
      <c r="D14" s="2">
        <v>351.99</v>
      </c>
      <c r="E14" s="2">
        <v>351.99</v>
      </c>
      <c r="F14" s="2" t="s">
        <v>138</v>
      </c>
      <c r="G14" s="2" t="s">
        <v>144</v>
      </c>
    </row>
    <row r="15" spans="1:21" x14ac:dyDescent="0.25">
      <c r="A15" s="2" t="s">
        <v>20</v>
      </c>
      <c r="B15" s="2" t="s">
        <v>133</v>
      </c>
      <c r="C15" s="2">
        <v>13</v>
      </c>
      <c r="D15" s="2">
        <v>2607.9</v>
      </c>
      <c r="E15" s="2">
        <v>33902.699999999997</v>
      </c>
      <c r="F15" s="2" t="s">
        <v>137</v>
      </c>
      <c r="G15" s="2" t="s">
        <v>142</v>
      </c>
      <c r="U15" s="6"/>
    </row>
    <row r="16" spans="1:21" x14ac:dyDescent="0.25">
      <c r="A16" s="2" t="s">
        <v>21</v>
      </c>
      <c r="B16" s="2" t="s">
        <v>130</v>
      </c>
      <c r="C16" s="2">
        <v>14</v>
      </c>
      <c r="D16" s="2">
        <v>1474.46</v>
      </c>
      <c r="E16" s="2">
        <v>20642.439999999999</v>
      </c>
      <c r="F16" s="2" t="s">
        <v>140</v>
      </c>
      <c r="G16" s="2" t="s">
        <v>144</v>
      </c>
    </row>
    <row r="17" spans="1:24" x14ac:dyDescent="0.25">
      <c r="A17" s="2" t="s">
        <v>22</v>
      </c>
      <c r="B17" s="2" t="s">
        <v>130</v>
      </c>
      <c r="C17" s="2">
        <v>4</v>
      </c>
      <c r="D17" s="2">
        <v>1881.69</v>
      </c>
      <c r="E17" s="2">
        <v>7526.76</v>
      </c>
      <c r="F17" s="2" t="s">
        <v>137</v>
      </c>
      <c r="G17" s="2" t="s">
        <v>145</v>
      </c>
    </row>
    <row r="18" spans="1:24" x14ac:dyDescent="0.25">
      <c r="A18" s="2" t="s">
        <v>23</v>
      </c>
      <c r="B18" s="2" t="s">
        <v>133</v>
      </c>
      <c r="C18" s="2">
        <v>15</v>
      </c>
      <c r="D18" s="2">
        <v>243.77</v>
      </c>
      <c r="E18" s="2">
        <v>3656.55</v>
      </c>
      <c r="F18" s="2" t="s">
        <v>140</v>
      </c>
      <c r="G18" s="2" t="s">
        <v>144</v>
      </c>
    </row>
    <row r="19" spans="1:24" x14ac:dyDescent="0.25">
      <c r="A19" s="2" t="s">
        <v>24</v>
      </c>
      <c r="B19" s="2" t="s">
        <v>127</v>
      </c>
      <c r="C19" s="2">
        <v>9</v>
      </c>
      <c r="D19" s="2">
        <v>55.19</v>
      </c>
      <c r="E19" s="2">
        <v>496.71</v>
      </c>
      <c r="F19" s="2" t="s">
        <v>136</v>
      </c>
      <c r="G19" s="2" t="s">
        <v>145</v>
      </c>
    </row>
    <row r="20" spans="1:24" x14ac:dyDescent="0.25">
      <c r="A20" s="2" t="s">
        <v>25</v>
      </c>
      <c r="B20" s="2" t="s">
        <v>131</v>
      </c>
      <c r="C20" s="2">
        <v>10</v>
      </c>
      <c r="D20" s="2">
        <v>809.12</v>
      </c>
      <c r="E20" s="2">
        <v>8091.2</v>
      </c>
      <c r="F20" s="2" t="s">
        <v>139</v>
      </c>
      <c r="G20" s="2" t="s">
        <v>144</v>
      </c>
    </row>
    <row r="21" spans="1:24" x14ac:dyDescent="0.25">
      <c r="A21" s="2" t="s">
        <v>26</v>
      </c>
      <c r="B21" s="2" t="s">
        <v>133</v>
      </c>
      <c r="C21" s="2">
        <v>17</v>
      </c>
      <c r="D21" s="2">
        <v>1944</v>
      </c>
      <c r="E21" s="2">
        <v>33048</v>
      </c>
      <c r="F21" s="2" t="s">
        <v>136</v>
      </c>
      <c r="G21" s="2" t="s">
        <v>144</v>
      </c>
    </row>
    <row r="22" spans="1:24" x14ac:dyDescent="0.25">
      <c r="A22" s="2" t="s">
        <v>27</v>
      </c>
      <c r="B22" s="2" t="s">
        <v>130</v>
      </c>
      <c r="C22" s="2">
        <v>11</v>
      </c>
      <c r="D22" s="2">
        <v>434.2</v>
      </c>
      <c r="E22" s="2">
        <v>4776.2</v>
      </c>
      <c r="F22" s="2" t="s">
        <v>136</v>
      </c>
      <c r="G22" s="2" t="s">
        <v>143</v>
      </c>
      <c r="X22" s="6"/>
    </row>
    <row r="23" spans="1:24" x14ac:dyDescent="0.25">
      <c r="A23" s="2" t="s">
        <v>28</v>
      </c>
      <c r="B23" s="2" t="s">
        <v>128</v>
      </c>
      <c r="C23" s="2">
        <v>8</v>
      </c>
      <c r="D23" s="2">
        <v>426.95</v>
      </c>
      <c r="E23" s="2">
        <v>3415.6</v>
      </c>
      <c r="F23" s="2" t="s">
        <v>139</v>
      </c>
      <c r="G23" s="2" t="s">
        <v>143</v>
      </c>
    </row>
    <row r="24" spans="1:24" x14ac:dyDescent="0.25">
      <c r="A24" s="2" t="s">
        <v>29</v>
      </c>
      <c r="B24" s="2" t="s">
        <v>130</v>
      </c>
      <c r="C24" s="2">
        <v>5</v>
      </c>
      <c r="D24" s="2">
        <v>115.49</v>
      </c>
      <c r="E24" s="2">
        <v>577.45000000000005</v>
      </c>
      <c r="F24" s="2" t="s">
        <v>141</v>
      </c>
      <c r="G24" s="2" t="s">
        <v>144</v>
      </c>
    </row>
    <row r="25" spans="1:24" x14ac:dyDescent="0.25">
      <c r="A25" s="2" t="s">
        <v>30</v>
      </c>
      <c r="B25" s="2" t="s">
        <v>129</v>
      </c>
      <c r="C25" s="2">
        <v>16</v>
      </c>
      <c r="D25" s="2">
        <v>2960.97</v>
      </c>
      <c r="E25" s="2">
        <v>47375.519999999997</v>
      </c>
      <c r="F25" s="2" t="s">
        <v>136</v>
      </c>
      <c r="G25" s="2" t="s">
        <v>143</v>
      </c>
    </row>
    <row r="26" spans="1:24" x14ac:dyDescent="0.25">
      <c r="A26" s="2" t="s">
        <v>31</v>
      </c>
      <c r="B26" s="2" t="s">
        <v>129</v>
      </c>
      <c r="C26" s="2">
        <v>10</v>
      </c>
      <c r="D26" s="2">
        <v>2856.9</v>
      </c>
      <c r="E26" s="2">
        <v>28569</v>
      </c>
      <c r="F26" s="2" t="s">
        <v>137</v>
      </c>
      <c r="G26" s="2" t="s">
        <v>145</v>
      </c>
    </row>
    <row r="27" spans="1:24" x14ac:dyDescent="0.25">
      <c r="A27" s="2" t="s">
        <v>32</v>
      </c>
      <c r="B27" s="2" t="s">
        <v>129</v>
      </c>
      <c r="C27" s="2">
        <v>20</v>
      </c>
      <c r="D27" s="2">
        <v>1953.66</v>
      </c>
      <c r="E27" s="2">
        <v>39073.199999999997</v>
      </c>
      <c r="F27" s="2" t="s">
        <v>139</v>
      </c>
      <c r="G27" s="2" t="s">
        <v>144</v>
      </c>
    </row>
    <row r="28" spans="1:24" x14ac:dyDescent="0.25">
      <c r="A28" s="2" t="s">
        <v>18</v>
      </c>
      <c r="B28" s="2" t="s">
        <v>134</v>
      </c>
      <c r="C28" s="2">
        <v>18</v>
      </c>
      <c r="D28" s="2">
        <v>1048.01</v>
      </c>
      <c r="E28" s="2">
        <v>18864.18</v>
      </c>
      <c r="F28" s="2" t="s">
        <v>141</v>
      </c>
      <c r="G28" s="2" t="s">
        <v>144</v>
      </c>
    </row>
    <row r="29" spans="1:24" x14ac:dyDescent="0.25">
      <c r="A29" s="2" t="s">
        <v>33</v>
      </c>
      <c r="B29" s="2" t="s">
        <v>127</v>
      </c>
      <c r="C29" s="2">
        <v>8</v>
      </c>
      <c r="D29" s="2">
        <v>167.55</v>
      </c>
      <c r="E29" s="2">
        <v>1340.4</v>
      </c>
      <c r="F29" s="2" t="s">
        <v>139</v>
      </c>
      <c r="G29" s="2" t="s">
        <v>145</v>
      </c>
    </row>
    <row r="30" spans="1:24" x14ac:dyDescent="0.25">
      <c r="A30" s="2" t="s">
        <v>34</v>
      </c>
      <c r="B30" s="2" t="s">
        <v>126</v>
      </c>
      <c r="C30" s="2">
        <v>19</v>
      </c>
      <c r="D30" s="2">
        <v>1508.89</v>
      </c>
      <c r="E30" s="2">
        <v>28668.91</v>
      </c>
      <c r="F30" s="2" t="s">
        <v>136</v>
      </c>
      <c r="G30" s="2" t="s">
        <v>144</v>
      </c>
    </row>
    <row r="31" spans="1:24" x14ac:dyDescent="0.25">
      <c r="A31" s="2" t="s">
        <v>35</v>
      </c>
      <c r="B31" s="2" t="s">
        <v>129</v>
      </c>
      <c r="C31" s="2">
        <v>17</v>
      </c>
      <c r="D31" s="2">
        <v>3381.17</v>
      </c>
      <c r="E31" s="2">
        <v>57479.89</v>
      </c>
      <c r="F31" s="2" t="s">
        <v>137</v>
      </c>
      <c r="G31" s="2" t="s">
        <v>146</v>
      </c>
    </row>
    <row r="32" spans="1:24" x14ac:dyDescent="0.25">
      <c r="A32" s="2" t="s">
        <v>36</v>
      </c>
      <c r="B32" s="2" t="s">
        <v>128</v>
      </c>
      <c r="C32" s="2">
        <v>8</v>
      </c>
      <c r="D32" s="2">
        <v>740.44</v>
      </c>
      <c r="E32" s="2">
        <v>5923.52</v>
      </c>
      <c r="F32" s="2" t="s">
        <v>138</v>
      </c>
      <c r="G32" s="2" t="s">
        <v>143</v>
      </c>
    </row>
    <row r="33" spans="1:7" x14ac:dyDescent="0.25">
      <c r="A33" s="2" t="s">
        <v>37</v>
      </c>
      <c r="B33" s="2" t="s">
        <v>131</v>
      </c>
      <c r="C33" s="2">
        <v>9</v>
      </c>
      <c r="D33" s="2">
        <v>2179.56</v>
      </c>
      <c r="E33" s="2">
        <v>19616.04</v>
      </c>
      <c r="F33" s="2" t="s">
        <v>138</v>
      </c>
      <c r="G33" s="2" t="s">
        <v>145</v>
      </c>
    </row>
    <row r="34" spans="1:7" x14ac:dyDescent="0.25">
      <c r="A34" s="2" t="s">
        <v>38</v>
      </c>
      <c r="B34" s="2" t="s">
        <v>128</v>
      </c>
      <c r="C34" s="2">
        <v>8</v>
      </c>
      <c r="D34" s="2">
        <v>644.89</v>
      </c>
      <c r="E34" s="2">
        <v>5159.12</v>
      </c>
      <c r="F34" s="2" t="s">
        <v>138</v>
      </c>
      <c r="G34" s="2" t="s">
        <v>145</v>
      </c>
    </row>
    <row r="35" spans="1:7" x14ac:dyDescent="0.25">
      <c r="A35" s="2" t="s">
        <v>13</v>
      </c>
      <c r="B35" s="2" t="s">
        <v>129</v>
      </c>
      <c r="C35" s="2">
        <v>14</v>
      </c>
      <c r="D35" s="2">
        <v>2022.6</v>
      </c>
      <c r="E35" s="2">
        <v>28316.400000000001</v>
      </c>
      <c r="F35" s="2" t="s">
        <v>140</v>
      </c>
      <c r="G35" s="2" t="s">
        <v>146</v>
      </c>
    </row>
    <row r="36" spans="1:7" x14ac:dyDescent="0.25">
      <c r="A36" s="2" t="s">
        <v>39</v>
      </c>
      <c r="B36" s="2" t="s">
        <v>128</v>
      </c>
      <c r="C36" s="2">
        <v>3</v>
      </c>
      <c r="D36" s="2">
        <v>2556.12</v>
      </c>
      <c r="E36" s="2">
        <v>7668.36</v>
      </c>
      <c r="F36" s="2" t="s">
        <v>137</v>
      </c>
      <c r="G36" s="2" t="s">
        <v>142</v>
      </c>
    </row>
    <row r="37" spans="1:7" x14ac:dyDescent="0.25">
      <c r="A37" s="2" t="s">
        <v>32</v>
      </c>
      <c r="B37" s="2" t="s">
        <v>126</v>
      </c>
      <c r="C37" s="2">
        <v>13</v>
      </c>
      <c r="D37" s="2">
        <v>1730.25</v>
      </c>
      <c r="E37" s="2">
        <v>22493.25</v>
      </c>
      <c r="F37" s="2" t="s">
        <v>140</v>
      </c>
      <c r="G37" s="2" t="s">
        <v>145</v>
      </c>
    </row>
    <row r="38" spans="1:7" x14ac:dyDescent="0.25">
      <c r="A38" s="2" t="s">
        <v>40</v>
      </c>
      <c r="B38" s="2" t="s">
        <v>130</v>
      </c>
      <c r="C38" s="2">
        <v>13</v>
      </c>
      <c r="D38" s="2">
        <v>97</v>
      </c>
      <c r="E38" s="2">
        <v>1261</v>
      </c>
      <c r="F38" s="2" t="s">
        <v>140</v>
      </c>
      <c r="G38" s="2" t="s">
        <v>146</v>
      </c>
    </row>
    <row r="39" spans="1:7" x14ac:dyDescent="0.25">
      <c r="A39" s="2" t="s">
        <v>41</v>
      </c>
      <c r="B39" s="2" t="s">
        <v>128</v>
      </c>
      <c r="C39" s="2">
        <v>16</v>
      </c>
      <c r="D39" s="2">
        <v>1889.62</v>
      </c>
      <c r="E39" s="2">
        <v>30233.919999999998</v>
      </c>
      <c r="F39" s="2" t="s">
        <v>141</v>
      </c>
      <c r="G39" s="2" t="s">
        <v>143</v>
      </c>
    </row>
    <row r="40" spans="1:7" x14ac:dyDescent="0.25">
      <c r="A40" s="2" t="s">
        <v>42</v>
      </c>
      <c r="B40" s="2" t="s">
        <v>132</v>
      </c>
      <c r="C40" s="2">
        <v>20</v>
      </c>
      <c r="D40" s="2">
        <v>3145.46</v>
      </c>
      <c r="E40" s="2">
        <v>62909.2</v>
      </c>
      <c r="F40" s="2" t="s">
        <v>137</v>
      </c>
      <c r="G40" s="2" t="s">
        <v>146</v>
      </c>
    </row>
    <row r="41" spans="1:7" x14ac:dyDescent="0.25">
      <c r="A41" s="2" t="s">
        <v>43</v>
      </c>
      <c r="B41" s="2" t="s">
        <v>134</v>
      </c>
      <c r="C41" s="2">
        <v>14</v>
      </c>
      <c r="D41" s="2">
        <v>1074</v>
      </c>
      <c r="E41" s="2">
        <v>15036</v>
      </c>
      <c r="F41" s="2" t="s">
        <v>138</v>
      </c>
      <c r="G41" s="2" t="s">
        <v>146</v>
      </c>
    </row>
    <row r="42" spans="1:7" x14ac:dyDescent="0.25">
      <c r="A42" s="2" t="s">
        <v>7</v>
      </c>
      <c r="B42" s="2" t="s">
        <v>127</v>
      </c>
      <c r="C42" s="2">
        <v>5</v>
      </c>
      <c r="D42" s="2">
        <v>425.31</v>
      </c>
      <c r="E42" s="2">
        <v>2126.5500000000002</v>
      </c>
      <c r="F42" s="2" t="s">
        <v>141</v>
      </c>
      <c r="G42" s="2" t="s">
        <v>145</v>
      </c>
    </row>
    <row r="43" spans="1:7" x14ac:dyDescent="0.25">
      <c r="A43" s="2" t="s">
        <v>44</v>
      </c>
      <c r="B43" s="2" t="s">
        <v>127</v>
      </c>
      <c r="C43" s="2">
        <v>7</v>
      </c>
      <c r="D43" s="2">
        <v>2778.07</v>
      </c>
      <c r="E43" s="2">
        <v>19446.490000000002</v>
      </c>
      <c r="F43" s="2" t="s">
        <v>138</v>
      </c>
      <c r="G43" s="2" t="s">
        <v>143</v>
      </c>
    </row>
    <row r="44" spans="1:7" x14ac:dyDescent="0.25">
      <c r="A44" s="2" t="s">
        <v>45</v>
      </c>
      <c r="B44" s="2" t="s">
        <v>135</v>
      </c>
      <c r="C44" s="2">
        <v>18</v>
      </c>
      <c r="D44" s="2">
        <v>2373.9499999999998</v>
      </c>
      <c r="E44" s="2">
        <v>42731.1</v>
      </c>
      <c r="F44" s="2" t="s">
        <v>140</v>
      </c>
      <c r="G44" s="2" t="s">
        <v>142</v>
      </c>
    </row>
    <row r="45" spans="1:7" x14ac:dyDescent="0.25">
      <c r="A45" s="2" t="s">
        <v>35</v>
      </c>
      <c r="B45" s="2" t="s">
        <v>128</v>
      </c>
      <c r="C45" s="2">
        <v>9</v>
      </c>
      <c r="D45" s="2">
        <v>92</v>
      </c>
      <c r="E45" s="2">
        <v>828</v>
      </c>
      <c r="F45" s="2" t="s">
        <v>141</v>
      </c>
      <c r="G45" s="2" t="s">
        <v>144</v>
      </c>
    </row>
    <row r="46" spans="1:7" x14ac:dyDescent="0.25">
      <c r="A46" s="2" t="s">
        <v>46</v>
      </c>
      <c r="B46" s="2" t="s">
        <v>135</v>
      </c>
      <c r="C46" s="2">
        <v>7</v>
      </c>
      <c r="D46" s="2">
        <v>2054.17</v>
      </c>
      <c r="E46" s="2">
        <v>14379.19</v>
      </c>
      <c r="F46" s="2" t="s">
        <v>138</v>
      </c>
      <c r="G46" s="2" t="s">
        <v>145</v>
      </c>
    </row>
    <row r="47" spans="1:7" x14ac:dyDescent="0.25">
      <c r="A47" s="2" t="s">
        <v>47</v>
      </c>
      <c r="B47" s="2" t="s">
        <v>132</v>
      </c>
      <c r="C47" s="2">
        <v>9</v>
      </c>
      <c r="D47" s="2">
        <v>1099.24</v>
      </c>
      <c r="E47" s="2">
        <v>9893.16</v>
      </c>
      <c r="F47" s="2" t="s">
        <v>137</v>
      </c>
      <c r="G47" s="2" t="s">
        <v>142</v>
      </c>
    </row>
    <row r="48" spans="1:7" x14ac:dyDescent="0.25">
      <c r="A48" s="2" t="s">
        <v>9</v>
      </c>
      <c r="B48" s="2" t="s">
        <v>132</v>
      </c>
      <c r="C48" s="2">
        <v>6</v>
      </c>
      <c r="D48" s="2">
        <v>223.91</v>
      </c>
      <c r="E48" s="2">
        <v>1343.46</v>
      </c>
      <c r="F48" s="2" t="s">
        <v>141</v>
      </c>
      <c r="G48" s="2" t="s">
        <v>146</v>
      </c>
    </row>
    <row r="49" spans="1:7" x14ac:dyDescent="0.25">
      <c r="A49" s="2" t="s">
        <v>48</v>
      </c>
      <c r="B49" s="2" t="s">
        <v>131</v>
      </c>
      <c r="C49" s="2">
        <v>10</v>
      </c>
      <c r="D49" s="2">
        <v>2018.64</v>
      </c>
      <c r="E49" s="2">
        <v>20186.400000000001</v>
      </c>
      <c r="F49" s="2" t="s">
        <v>139</v>
      </c>
      <c r="G49" s="2" t="s">
        <v>146</v>
      </c>
    </row>
    <row r="50" spans="1:7" x14ac:dyDescent="0.25">
      <c r="A50" s="2" t="s">
        <v>15</v>
      </c>
      <c r="B50" s="2" t="s">
        <v>132</v>
      </c>
      <c r="C50" s="2">
        <v>4</v>
      </c>
      <c r="D50" s="2">
        <v>717.3</v>
      </c>
      <c r="E50" s="2">
        <v>2869.2</v>
      </c>
      <c r="F50" s="2" t="s">
        <v>138</v>
      </c>
      <c r="G50" s="2" t="s">
        <v>146</v>
      </c>
    </row>
    <row r="51" spans="1:7" x14ac:dyDescent="0.25">
      <c r="A51" s="2" t="s">
        <v>49</v>
      </c>
      <c r="B51" s="2" t="s">
        <v>131</v>
      </c>
      <c r="C51" s="2">
        <v>15</v>
      </c>
      <c r="D51" s="2">
        <v>3322.3</v>
      </c>
      <c r="E51" s="2">
        <v>49834.5</v>
      </c>
      <c r="F51" s="2" t="s">
        <v>137</v>
      </c>
      <c r="G51" s="2" t="s">
        <v>146</v>
      </c>
    </row>
    <row r="52" spans="1:7" x14ac:dyDescent="0.25">
      <c r="A52" s="2" t="s">
        <v>50</v>
      </c>
      <c r="B52" s="2" t="s">
        <v>131</v>
      </c>
      <c r="C52" s="2">
        <v>5</v>
      </c>
      <c r="D52" s="2">
        <v>2674.75</v>
      </c>
      <c r="E52" s="2">
        <v>13373.75</v>
      </c>
      <c r="F52" s="2" t="s">
        <v>138</v>
      </c>
      <c r="G52" s="2" t="s">
        <v>144</v>
      </c>
    </row>
    <row r="53" spans="1:7" x14ac:dyDescent="0.25">
      <c r="A53" s="2" t="s">
        <v>42</v>
      </c>
      <c r="B53" s="2" t="s">
        <v>133</v>
      </c>
      <c r="C53" s="2">
        <v>18</v>
      </c>
      <c r="D53" s="2">
        <v>3478.5</v>
      </c>
      <c r="E53" s="2">
        <v>62613</v>
      </c>
      <c r="F53" s="2" t="s">
        <v>139</v>
      </c>
      <c r="G53" s="2" t="s">
        <v>145</v>
      </c>
    </row>
    <row r="54" spans="1:7" x14ac:dyDescent="0.25">
      <c r="A54" s="2" t="s">
        <v>51</v>
      </c>
      <c r="B54" s="2" t="s">
        <v>133</v>
      </c>
      <c r="C54" s="2">
        <v>10</v>
      </c>
      <c r="D54" s="2">
        <v>595.51</v>
      </c>
      <c r="E54" s="2">
        <v>5955.1</v>
      </c>
      <c r="F54" s="2" t="s">
        <v>136</v>
      </c>
      <c r="G54" s="2" t="s">
        <v>142</v>
      </c>
    </row>
    <row r="55" spans="1:7" x14ac:dyDescent="0.25">
      <c r="A55" s="2" t="s">
        <v>38</v>
      </c>
      <c r="B55" s="2" t="s">
        <v>134</v>
      </c>
      <c r="C55" s="2">
        <v>13</v>
      </c>
      <c r="D55" s="2">
        <v>3386.69</v>
      </c>
      <c r="E55" s="2">
        <v>44026.97</v>
      </c>
      <c r="F55" s="2" t="s">
        <v>138</v>
      </c>
      <c r="G55" s="2" t="s">
        <v>145</v>
      </c>
    </row>
    <row r="56" spans="1:7" x14ac:dyDescent="0.25">
      <c r="A56" s="2" t="s">
        <v>52</v>
      </c>
      <c r="B56" s="2" t="s">
        <v>131</v>
      </c>
      <c r="C56" s="2">
        <v>13</v>
      </c>
      <c r="D56" s="2">
        <v>293.70999999999998</v>
      </c>
      <c r="E56" s="2">
        <v>3818.23</v>
      </c>
      <c r="F56" s="2" t="s">
        <v>137</v>
      </c>
      <c r="G56" s="2" t="s">
        <v>142</v>
      </c>
    </row>
    <row r="57" spans="1:7" x14ac:dyDescent="0.25">
      <c r="A57" s="2" t="s">
        <v>50</v>
      </c>
      <c r="B57" s="2" t="s">
        <v>135</v>
      </c>
      <c r="C57" s="2">
        <v>14</v>
      </c>
      <c r="D57" s="2">
        <v>693.68</v>
      </c>
      <c r="E57" s="2">
        <v>9711.52</v>
      </c>
      <c r="F57" s="2" t="s">
        <v>138</v>
      </c>
      <c r="G57" s="2" t="s">
        <v>143</v>
      </c>
    </row>
    <row r="58" spans="1:7" x14ac:dyDescent="0.25">
      <c r="A58" s="2" t="s">
        <v>53</v>
      </c>
      <c r="B58" s="2" t="s">
        <v>127</v>
      </c>
      <c r="C58" s="2">
        <v>19</v>
      </c>
      <c r="D58" s="2">
        <v>571.79999999999995</v>
      </c>
      <c r="E58" s="2">
        <v>10864.2</v>
      </c>
      <c r="F58" s="2" t="s">
        <v>139</v>
      </c>
      <c r="G58" s="2" t="s">
        <v>142</v>
      </c>
    </row>
    <row r="59" spans="1:7" x14ac:dyDescent="0.25">
      <c r="A59" s="2" t="s">
        <v>54</v>
      </c>
      <c r="B59" s="2" t="s">
        <v>127</v>
      </c>
      <c r="C59" s="2">
        <v>20</v>
      </c>
      <c r="D59" s="2">
        <v>1293.3399999999999</v>
      </c>
      <c r="E59" s="2">
        <v>25866.799999999999</v>
      </c>
      <c r="F59" s="2" t="s">
        <v>137</v>
      </c>
      <c r="G59" s="2" t="s">
        <v>144</v>
      </c>
    </row>
    <row r="60" spans="1:7" x14ac:dyDescent="0.25">
      <c r="A60" s="2" t="s">
        <v>55</v>
      </c>
      <c r="B60" s="2" t="s">
        <v>131</v>
      </c>
      <c r="C60" s="2">
        <v>1</v>
      </c>
      <c r="D60" s="2">
        <v>2011.47</v>
      </c>
      <c r="E60" s="2">
        <v>2011.47</v>
      </c>
      <c r="F60" s="2" t="s">
        <v>140</v>
      </c>
      <c r="G60" s="2" t="s">
        <v>145</v>
      </c>
    </row>
    <row r="61" spans="1:7" x14ac:dyDescent="0.25">
      <c r="A61" s="2" t="s">
        <v>26</v>
      </c>
      <c r="B61" s="2" t="s">
        <v>127</v>
      </c>
      <c r="C61" s="2">
        <v>4</v>
      </c>
      <c r="D61" s="2">
        <v>2000.82</v>
      </c>
      <c r="E61" s="2">
        <v>8003.28</v>
      </c>
      <c r="F61" s="2" t="s">
        <v>138</v>
      </c>
      <c r="G61" s="2" t="s">
        <v>142</v>
      </c>
    </row>
    <row r="62" spans="1:7" x14ac:dyDescent="0.25">
      <c r="A62" s="2" t="s">
        <v>14</v>
      </c>
      <c r="B62" s="2" t="s">
        <v>127</v>
      </c>
      <c r="C62" s="2">
        <v>13</v>
      </c>
      <c r="D62" s="2">
        <v>1934.48</v>
      </c>
      <c r="E62" s="2">
        <v>25148.240000000002</v>
      </c>
      <c r="F62" s="2" t="s">
        <v>138</v>
      </c>
      <c r="G62" s="2" t="s">
        <v>143</v>
      </c>
    </row>
    <row r="63" spans="1:7" x14ac:dyDescent="0.25">
      <c r="A63" s="2" t="s">
        <v>56</v>
      </c>
      <c r="B63" s="2" t="s">
        <v>131</v>
      </c>
      <c r="C63" s="2">
        <v>15</v>
      </c>
      <c r="D63" s="2">
        <v>1665.23</v>
      </c>
      <c r="E63" s="2">
        <v>24978.45</v>
      </c>
      <c r="F63" s="2" t="s">
        <v>137</v>
      </c>
      <c r="G63" s="2" t="s">
        <v>143</v>
      </c>
    </row>
    <row r="64" spans="1:7" x14ac:dyDescent="0.25">
      <c r="A64" s="2" t="s">
        <v>56</v>
      </c>
      <c r="B64" s="2" t="s">
        <v>128</v>
      </c>
      <c r="C64" s="2">
        <v>6</v>
      </c>
      <c r="D64" s="2">
        <v>2937.08</v>
      </c>
      <c r="E64" s="2">
        <v>17622.48</v>
      </c>
      <c r="F64" s="2" t="s">
        <v>140</v>
      </c>
      <c r="G64" s="2" t="s">
        <v>142</v>
      </c>
    </row>
    <row r="65" spans="1:7" x14ac:dyDescent="0.25">
      <c r="A65" s="2" t="s">
        <v>57</v>
      </c>
      <c r="B65" s="2" t="s">
        <v>135</v>
      </c>
      <c r="C65" s="2">
        <v>2</v>
      </c>
      <c r="D65" s="2">
        <v>574.80999999999995</v>
      </c>
      <c r="E65" s="2">
        <v>1149.6199999999999</v>
      </c>
      <c r="F65" s="2" t="s">
        <v>139</v>
      </c>
      <c r="G65" s="2" t="s">
        <v>142</v>
      </c>
    </row>
    <row r="66" spans="1:7" x14ac:dyDescent="0.25">
      <c r="A66" s="2" t="s">
        <v>58</v>
      </c>
      <c r="B66" s="2" t="s">
        <v>131</v>
      </c>
      <c r="C66" s="2">
        <v>9</v>
      </c>
      <c r="D66" s="2">
        <v>2984.78</v>
      </c>
      <c r="E66" s="2">
        <v>26863.02</v>
      </c>
      <c r="F66" s="2" t="s">
        <v>136</v>
      </c>
      <c r="G66" s="2" t="s">
        <v>145</v>
      </c>
    </row>
    <row r="67" spans="1:7" x14ac:dyDescent="0.25">
      <c r="A67" s="2" t="s">
        <v>59</v>
      </c>
      <c r="B67" s="2" t="s">
        <v>134</v>
      </c>
      <c r="C67" s="2">
        <v>14</v>
      </c>
      <c r="D67" s="2">
        <v>2290.36</v>
      </c>
      <c r="E67" s="2">
        <v>32065.040000000001</v>
      </c>
      <c r="F67" s="2" t="s">
        <v>140</v>
      </c>
      <c r="G67" s="2" t="s">
        <v>145</v>
      </c>
    </row>
    <row r="68" spans="1:7" x14ac:dyDescent="0.25">
      <c r="A68" s="2" t="s">
        <v>60</v>
      </c>
      <c r="B68" s="2" t="s">
        <v>135</v>
      </c>
      <c r="C68" s="2">
        <v>10</v>
      </c>
      <c r="D68" s="2">
        <v>1501.57</v>
      </c>
      <c r="E68" s="2">
        <v>15015.7</v>
      </c>
      <c r="F68" s="2" t="s">
        <v>140</v>
      </c>
      <c r="G68" s="2" t="s">
        <v>144</v>
      </c>
    </row>
    <row r="69" spans="1:7" x14ac:dyDescent="0.25">
      <c r="A69" s="2" t="s">
        <v>61</v>
      </c>
      <c r="B69" s="2" t="s">
        <v>133</v>
      </c>
      <c r="C69" s="2">
        <v>17</v>
      </c>
      <c r="D69" s="2">
        <v>2633.1</v>
      </c>
      <c r="E69" s="2">
        <v>44762.7</v>
      </c>
      <c r="F69" s="2" t="s">
        <v>137</v>
      </c>
      <c r="G69" s="2" t="s">
        <v>143</v>
      </c>
    </row>
    <row r="70" spans="1:7" x14ac:dyDescent="0.25">
      <c r="A70" s="2" t="s">
        <v>61</v>
      </c>
      <c r="B70" s="2" t="s">
        <v>131</v>
      </c>
      <c r="C70" s="2">
        <v>5</v>
      </c>
      <c r="D70" s="2">
        <v>188.29</v>
      </c>
      <c r="E70" s="2">
        <v>941.45</v>
      </c>
      <c r="F70" s="2" t="s">
        <v>136</v>
      </c>
      <c r="G70" s="2" t="s">
        <v>146</v>
      </c>
    </row>
    <row r="71" spans="1:7" x14ac:dyDescent="0.25">
      <c r="A71" s="2" t="s">
        <v>33</v>
      </c>
      <c r="B71" s="2" t="s">
        <v>131</v>
      </c>
      <c r="C71" s="2">
        <v>18</v>
      </c>
      <c r="D71" s="2">
        <v>2373.9299999999998</v>
      </c>
      <c r="E71" s="2">
        <v>42730.74</v>
      </c>
      <c r="F71" s="2" t="s">
        <v>138</v>
      </c>
      <c r="G71" s="2" t="s">
        <v>143</v>
      </c>
    </row>
    <row r="72" spans="1:7" x14ac:dyDescent="0.25">
      <c r="A72" s="2" t="s">
        <v>7</v>
      </c>
      <c r="B72" s="2" t="s">
        <v>132</v>
      </c>
      <c r="C72" s="2">
        <v>17</v>
      </c>
      <c r="D72" s="2">
        <v>623.80999999999995</v>
      </c>
      <c r="E72" s="2">
        <v>10604.77</v>
      </c>
      <c r="F72" s="2" t="s">
        <v>141</v>
      </c>
      <c r="G72" s="2" t="s">
        <v>142</v>
      </c>
    </row>
    <row r="73" spans="1:7" x14ac:dyDescent="0.25">
      <c r="A73" s="2" t="s">
        <v>62</v>
      </c>
      <c r="B73" s="2" t="s">
        <v>133</v>
      </c>
      <c r="C73" s="2">
        <v>12</v>
      </c>
      <c r="D73" s="2">
        <v>2268.4499999999998</v>
      </c>
      <c r="E73" s="2">
        <v>27221.4</v>
      </c>
      <c r="F73" s="2" t="s">
        <v>141</v>
      </c>
      <c r="G73" s="2" t="s">
        <v>142</v>
      </c>
    </row>
    <row r="74" spans="1:7" x14ac:dyDescent="0.25">
      <c r="A74" s="2" t="s">
        <v>63</v>
      </c>
      <c r="B74" s="2" t="s">
        <v>133</v>
      </c>
      <c r="C74" s="2">
        <v>7</v>
      </c>
      <c r="D74" s="2">
        <v>1127.43</v>
      </c>
      <c r="E74" s="2">
        <v>7892.01</v>
      </c>
      <c r="F74" s="2" t="s">
        <v>138</v>
      </c>
      <c r="G74" s="2" t="s">
        <v>142</v>
      </c>
    </row>
    <row r="75" spans="1:7" x14ac:dyDescent="0.25">
      <c r="A75" s="2" t="s">
        <v>64</v>
      </c>
      <c r="B75" s="2" t="s">
        <v>134</v>
      </c>
      <c r="C75" s="2">
        <v>7</v>
      </c>
      <c r="D75" s="2">
        <v>86.83</v>
      </c>
      <c r="E75" s="2">
        <v>607.80999999999995</v>
      </c>
      <c r="F75" s="2" t="s">
        <v>137</v>
      </c>
      <c r="G75" s="2" t="s">
        <v>145</v>
      </c>
    </row>
    <row r="76" spans="1:7" x14ac:dyDescent="0.25">
      <c r="A76" s="2" t="s">
        <v>65</v>
      </c>
      <c r="B76" s="2" t="s">
        <v>131</v>
      </c>
      <c r="C76" s="2">
        <v>19</v>
      </c>
      <c r="D76" s="2">
        <v>3036.7</v>
      </c>
      <c r="E76" s="2">
        <v>57697.3</v>
      </c>
      <c r="F76" s="2" t="s">
        <v>136</v>
      </c>
      <c r="G76" s="2" t="s">
        <v>146</v>
      </c>
    </row>
    <row r="77" spans="1:7" x14ac:dyDescent="0.25">
      <c r="A77" s="2" t="s">
        <v>27</v>
      </c>
      <c r="B77" s="2" t="s">
        <v>131</v>
      </c>
      <c r="C77" s="2">
        <v>13</v>
      </c>
      <c r="D77" s="2">
        <v>2887.69</v>
      </c>
      <c r="E77" s="2">
        <v>37539.97</v>
      </c>
      <c r="F77" s="2" t="s">
        <v>136</v>
      </c>
      <c r="G77" s="2" t="s">
        <v>143</v>
      </c>
    </row>
    <row r="78" spans="1:7" x14ac:dyDescent="0.25">
      <c r="A78" s="2" t="s">
        <v>57</v>
      </c>
      <c r="B78" s="2" t="s">
        <v>130</v>
      </c>
      <c r="C78" s="2">
        <v>6</v>
      </c>
      <c r="D78" s="2">
        <v>1564.6</v>
      </c>
      <c r="E78" s="2">
        <v>9387.6</v>
      </c>
      <c r="F78" s="2" t="s">
        <v>136</v>
      </c>
      <c r="G78" s="2" t="s">
        <v>146</v>
      </c>
    </row>
    <row r="79" spans="1:7" x14ac:dyDescent="0.25">
      <c r="A79" s="2" t="s">
        <v>66</v>
      </c>
      <c r="B79" s="2" t="s">
        <v>133</v>
      </c>
      <c r="C79" s="2">
        <v>3</v>
      </c>
      <c r="D79" s="2">
        <v>3472.19</v>
      </c>
      <c r="E79" s="2">
        <v>10416.57</v>
      </c>
      <c r="F79" s="2" t="s">
        <v>139</v>
      </c>
      <c r="G79" s="2" t="s">
        <v>144</v>
      </c>
    </row>
    <row r="80" spans="1:7" x14ac:dyDescent="0.25">
      <c r="A80" s="2" t="s">
        <v>38</v>
      </c>
      <c r="B80" s="2" t="s">
        <v>127</v>
      </c>
      <c r="C80" s="2">
        <v>18</v>
      </c>
      <c r="D80" s="2">
        <v>3297.26</v>
      </c>
      <c r="E80" s="2">
        <v>59350.68</v>
      </c>
      <c r="F80" s="2" t="s">
        <v>136</v>
      </c>
      <c r="G80" s="2" t="s">
        <v>142</v>
      </c>
    </row>
    <row r="81" spans="1:7" x14ac:dyDescent="0.25">
      <c r="A81" s="2" t="s">
        <v>67</v>
      </c>
      <c r="B81" s="2" t="s">
        <v>130</v>
      </c>
      <c r="C81" s="2">
        <v>9</v>
      </c>
      <c r="D81" s="2">
        <v>2392.2600000000002</v>
      </c>
      <c r="E81" s="2">
        <v>21530.34</v>
      </c>
      <c r="F81" s="2" t="s">
        <v>139</v>
      </c>
      <c r="G81" s="2" t="s">
        <v>145</v>
      </c>
    </row>
    <row r="82" spans="1:7" x14ac:dyDescent="0.25">
      <c r="A82" s="2" t="s">
        <v>68</v>
      </c>
      <c r="B82" s="2" t="s">
        <v>130</v>
      </c>
      <c r="C82" s="2">
        <v>20</v>
      </c>
      <c r="D82" s="2">
        <v>3287.59</v>
      </c>
      <c r="E82" s="2">
        <v>65751.8</v>
      </c>
      <c r="F82" s="2" t="s">
        <v>139</v>
      </c>
      <c r="G82" s="2" t="s">
        <v>146</v>
      </c>
    </row>
    <row r="83" spans="1:7" x14ac:dyDescent="0.25">
      <c r="A83" s="2" t="s">
        <v>69</v>
      </c>
      <c r="B83" s="2" t="s">
        <v>134</v>
      </c>
      <c r="C83" s="2">
        <v>11</v>
      </c>
      <c r="D83" s="2">
        <v>235.31</v>
      </c>
      <c r="E83" s="2">
        <v>2588.41</v>
      </c>
      <c r="F83" s="2" t="s">
        <v>136</v>
      </c>
      <c r="G83" s="2" t="s">
        <v>143</v>
      </c>
    </row>
    <row r="84" spans="1:7" x14ac:dyDescent="0.25">
      <c r="A84" s="2" t="s">
        <v>11</v>
      </c>
      <c r="B84" s="2" t="s">
        <v>126</v>
      </c>
      <c r="C84" s="2">
        <v>5</v>
      </c>
      <c r="D84" s="2">
        <v>2013.81</v>
      </c>
      <c r="E84" s="2">
        <v>10069.049999999999</v>
      </c>
      <c r="F84" s="2" t="s">
        <v>141</v>
      </c>
      <c r="G84" s="2" t="s">
        <v>142</v>
      </c>
    </row>
    <row r="85" spans="1:7" x14ac:dyDescent="0.25">
      <c r="A85" s="2" t="s">
        <v>70</v>
      </c>
      <c r="B85" s="2" t="s">
        <v>135</v>
      </c>
      <c r="C85" s="2">
        <v>11</v>
      </c>
      <c r="D85" s="2">
        <v>1367.05</v>
      </c>
      <c r="E85" s="2">
        <v>15037.55</v>
      </c>
      <c r="F85" s="2" t="s">
        <v>140</v>
      </c>
      <c r="G85" s="2" t="s">
        <v>142</v>
      </c>
    </row>
    <row r="86" spans="1:7" x14ac:dyDescent="0.25">
      <c r="A86" s="2" t="s">
        <v>7</v>
      </c>
      <c r="B86" s="2" t="s">
        <v>126</v>
      </c>
      <c r="C86" s="2">
        <v>14</v>
      </c>
      <c r="D86" s="2">
        <v>2673.39</v>
      </c>
      <c r="E86" s="2">
        <v>37427.46</v>
      </c>
      <c r="F86" s="2" t="s">
        <v>139</v>
      </c>
      <c r="G86" s="2" t="s">
        <v>146</v>
      </c>
    </row>
    <row r="87" spans="1:7" x14ac:dyDescent="0.25">
      <c r="A87" s="2" t="s">
        <v>71</v>
      </c>
      <c r="B87" s="2" t="s">
        <v>129</v>
      </c>
      <c r="C87" s="2">
        <v>16</v>
      </c>
      <c r="D87" s="2">
        <v>3242.78</v>
      </c>
      <c r="E87" s="2">
        <v>51884.480000000003</v>
      </c>
      <c r="F87" s="2" t="s">
        <v>139</v>
      </c>
      <c r="G87" s="2" t="s">
        <v>146</v>
      </c>
    </row>
    <row r="88" spans="1:7" x14ac:dyDescent="0.25">
      <c r="A88" s="2" t="s">
        <v>36</v>
      </c>
      <c r="B88" s="2" t="s">
        <v>127</v>
      </c>
      <c r="C88" s="2">
        <v>10</v>
      </c>
      <c r="D88" s="2">
        <v>1220.9100000000001</v>
      </c>
      <c r="E88" s="2">
        <v>12209.1</v>
      </c>
      <c r="F88" s="2" t="s">
        <v>139</v>
      </c>
      <c r="G88" s="2" t="s">
        <v>143</v>
      </c>
    </row>
    <row r="89" spans="1:7" x14ac:dyDescent="0.25">
      <c r="A89" s="2" t="s">
        <v>68</v>
      </c>
      <c r="B89" s="2" t="s">
        <v>128</v>
      </c>
      <c r="C89" s="2">
        <v>7</v>
      </c>
      <c r="D89" s="2">
        <v>207.78</v>
      </c>
      <c r="E89" s="2">
        <v>1454.46</v>
      </c>
      <c r="F89" s="2" t="s">
        <v>139</v>
      </c>
      <c r="G89" s="2" t="s">
        <v>145</v>
      </c>
    </row>
    <row r="90" spans="1:7" x14ac:dyDescent="0.25">
      <c r="A90" s="2" t="s">
        <v>72</v>
      </c>
      <c r="B90" s="2" t="s">
        <v>135</v>
      </c>
      <c r="C90" s="2">
        <v>17</v>
      </c>
      <c r="D90" s="2">
        <v>591.25</v>
      </c>
      <c r="E90" s="2">
        <v>10051.25</v>
      </c>
      <c r="F90" s="2" t="s">
        <v>140</v>
      </c>
      <c r="G90" s="2" t="s">
        <v>142</v>
      </c>
    </row>
    <row r="91" spans="1:7" x14ac:dyDescent="0.25">
      <c r="A91" s="2" t="s">
        <v>29</v>
      </c>
      <c r="B91" s="2" t="s">
        <v>126</v>
      </c>
      <c r="C91" s="2">
        <v>6</v>
      </c>
      <c r="D91" s="2">
        <v>2928.46</v>
      </c>
      <c r="E91" s="2">
        <v>17570.759999999998</v>
      </c>
      <c r="F91" s="2" t="s">
        <v>139</v>
      </c>
      <c r="G91" s="2" t="s">
        <v>146</v>
      </c>
    </row>
    <row r="92" spans="1:7" x14ac:dyDescent="0.25">
      <c r="A92" s="2" t="s">
        <v>73</v>
      </c>
      <c r="B92" s="2" t="s">
        <v>130</v>
      </c>
      <c r="C92" s="2">
        <v>15</v>
      </c>
      <c r="D92" s="2">
        <v>1718.21</v>
      </c>
      <c r="E92" s="2">
        <v>25773.15</v>
      </c>
      <c r="F92" s="2" t="s">
        <v>141</v>
      </c>
      <c r="G92" s="2" t="s">
        <v>146</v>
      </c>
    </row>
    <row r="93" spans="1:7" x14ac:dyDescent="0.25">
      <c r="A93" s="2" t="s">
        <v>52</v>
      </c>
      <c r="B93" s="2" t="s">
        <v>128</v>
      </c>
      <c r="C93" s="2">
        <v>14</v>
      </c>
      <c r="D93" s="2">
        <v>2346.4699999999998</v>
      </c>
      <c r="E93" s="2">
        <v>32850.58</v>
      </c>
      <c r="F93" s="2" t="s">
        <v>140</v>
      </c>
      <c r="G93" s="2" t="s">
        <v>145</v>
      </c>
    </row>
    <row r="94" spans="1:7" x14ac:dyDescent="0.25">
      <c r="A94" s="2" t="s">
        <v>64</v>
      </c>
      <c r="B94" s="2" t="s">
        <v>133</v>
      </c>
      <c r="C94" s="2">
        <v>18</v>
      </c>
      <c r="D94" s="2">
        <v>300.91000000000003</v>
      </c>
      <c r="E94" s="2">
        <v>5416.38</v>
      </c>
      <c r="F94" s="2" t="s">
        <v>138</v>
      </c>
      <c r="G94" s="2" t="s">
        <v>146</v>
      </c>
    </row>
    <row r="95" spans="1:7" x14ac:dyDescent="0.25">
      <c r="A95" s="2" t="s">
        <v>20</v>
      </c>
      <c r="B95" s="2" t="s">
        <v>127</v>
      </c>
      <c r="C95" s="2">
        <v>12</v>
      </c>
      <c r="D95" s="2">
        <v>3260.77</v>
      </c>
      <c r="E95" s="2">
        <v>39129.24</v>
      </c>
      <c r="F95" s="2" t="s">
        <v>141</v>
      </c>
      <c r="G95" s="2" t="s">
        <v>145</v>
      </c>
    </row>
    <row r="96" spans="1:7" x14ac:dyDescent="0.25">
      <c r="A96" s="2" t="s">
        <v>74</v>
      </c>
      <c r="B96" s="2" t="s">
        <v>129</v>
      </c>
      <c r="C96" s="2">
        <v>6</v>
      </c>
      <c r="D96" s="2">
        <v>3111.66</v>
      </c>
      <c r="E96" s="2">
        <v>18669.96</v>
      </c>
      <c r="F96" s="2" t="s">
        <v>137</v>
      </c>
      <c r="G96" s="2" t="s">
        <v>142</v>
      </c>
    </row>
    <row r="97" spans="1:7" x14ac:dyDescent="0.25">
      <c r="A97" s="2" t="s">
        <v>75</v>
      </c>
      <c r="B97" s="2" t="s">
        <v>135</v>
      </c>
      <c r="C97" s="2">
        <v>5</v>
      </c>
      <c r="D97" s="2">
        <v>2420.2399999999998</v>
      </c>
      <c r="E97" s="2">
        <v>12101.2</v>
      </c>
      <c r="F97" s="2" t="s">
        <v>140</v>
      </c>
      <c r="G97" s="2" t="s">
        <v>142</v>
      </c>
    </row>
    <row r="98" spans="1:7" x14ac:dyDescent="0.25">
      <c r="A98" s="2" t="s">
        <v>76</v>
      </c>
      <c r="B98" s="2" t="s">
        <v>126</v>
      </c>
      <c r="C98" s="2">
        <v>20</v>
      </c>
      <c r="D98" s="2">
        <v>2301.1999999999998</v>
      </c>
      <c r="E98" s="2">
        <v>46024</v>
      </c>
      <c r="F98" s="2" t="s">
        <v>136</v>
      </c>
      <c r="G98" s="2" t="s">
        <v>144</v>
      </c>
    </row>
    <row r="99" spans="1:7" x14ac:dyDescent="0.25">
      <c r="A99" s="2" t="s">
        <v>77</v>
      </c>
      <c r="B99" s="2" t="s">
        <v>131</v>
      </c>
      <c r="C99" s="2">
        <v>16</v>
      </c>
      <c r="D99" s="2">
        <v>545.97</v>
      </c>
      <c r="E99" s="2">
        <v>8735.52</v>
      </c>
      <c r="F99" s="2" t="s">
        <v>138</v>
      </c>
      <c r="G99" s="2" t="s">
        <v>145</v>
      </c>
    </row>
    <row r="100" spans="1:7" x14ac:dyDescent="0.25">
      <c r="A100" s="2" t="s">
        <v>26</v>
      </c>
      <c r="B100" s="2" t="s">
        <v>132</v>
      </c>
      <c r="C100" s="2">
        <v>12</v>
      </c>
      <c r="D100" s="2">
        <v>2304.19</v>
      </c>
      <c r="E100" s="2">
        <v>27650.28</v>
      </c>
      <c r="F100" s="2" t="s">
        <v>136</v>
      </c>
      <c r="G100" s="2" t="s">
        <v>146</v>
      </c>
    </row>
    <row r="101" spans="1:7" x14ac:dyDescent="0.25">
      <c r="A101" s="2" t="s">
        <v>44</v>
      </c>
      <c r="B101" s="2" t="s">
        <v>132</v>
      </c>
      <c r="C101" s="2">
        <v>3</v>
      </c>
      <c r="D101" s="2">
        <v>3161.13</v>
      </c>
      <c r="E101" s="2">
        <v>9483.39</v>
      </c>
      <c r="F101" s="2" t="s">
        <v>140</v>
      </c>
      <c r="G101" s="2" t="s">
        <v>143</v>
      </c>
    </row>
    <row r="102" spans="1:7" x14ac:dyDescent="0.25">
      <c r="A102" s="2" t="s">
        <v>78</v>
      </c>
      <c r="B102" s="2" t="s">
        <v>131</v>
      </c>
      <c r="C102" s="2">
        <v>20</v>
      </c>
      <c r="D102" s="2">
        <v>754.76</v>
      </c>
      <c r="E102" s="2">
        <v>15095.2</v>
      </c>
      <c r="F102" s="2" t="s">
        <v>137</v>
      </c>
      <c r="G102" s="2" t="s">
        <v>143</v>
      </c>
    </row>
    <row r="103" spans="1:7" x14ac:dyDescent="0.25">
      <c r="A103" s="2" t="s">
        <v>27</v>
      </c>
      <c r="B103" s="2" t="s">
        <v>133</v>
      </c>
      <c r="C103" s="2">
        <v>10</v>
      </c>
      <c r="D103" s="2">
        <v>1159.8599999999999</v>
      </c>
      <c r="E103" s="2">
        <v>11598.6</v>
      </c>
      <c r="F103" s="2" t="s">
        <v>136</v>
      </c>
      <c r="G103" s="2" t="s">
        <v>144</v>
      </c>
    </row>
    <row r="104" spans="1:7" x14ac:dyDescent="0.25">
      <c r="A104" s="2" t="s">
        <v>79</v>
      </c>
      <c r="B104" s="2" t="s">
        <v>134</v>
      </c>
      <c r="C104" s="2">
        <v>20</v>
      </c>
      <c r="D104" s="2">
        <v>2373.31</v>
      </c>
      <c r="E104" s="2">
        <v>47466.2</v>
      </c>
      <c r="F104" s="2" t="s">
        <v>137</v>
      </c>
      <c r="G104" s="2" t="s">
        <v>143</v>
      </c>
    </row>
    <row r="105" spans="1:7" x14ac:dyDescent="0.25">
      <c r="A105" s="2" t="s">
        <v>80</v>
      </c>
      <c r="B105" s="2" t="s">
        <v>127</v>
      </c>
      <c r="C105" s="2">
        <v>17</v>
      </c>
      <c r="D105" s="2">
        <v>2074.5</v>
      </c>
      <c r="E105" s="2">
        <v>35266.5</v>
      </c>
      <c r="F105" s="2" t="s">
        <v>139</v>
      </c>
      <c r="G105" s="2" t="s">
        <v>143</v>
      </c>
    </row>
    <row r="106" spans="1:7" x14ac:dyDescent="0.25">
      <c r="A106" s="2" t="s">
        <v>81</v>
      </c>
      <c r="B106" s="2" t="s">
        <v>126</v>
      </c>
      <c r="C106" s="2">
        <v>1</v>
      </c>
      <c r="D106" s="2">
        <v>1094.83</v>
      </c>
      <c r="E106" s="2">
        <v>1094.83</v>
      </c>
      <c r="F106" s="2" t="s">
        <v>138</v>
      </c>
      <c r="G106" s="2" t="s">
        <v>143</v>
      </c>
    </row>
    <row r="107" spans="1:7" x14ac:dyDescent="0.25">
      <c r="A107" s="2" t="s">
        <v>80</v>
      </c>
      <c r="B107" s="2" t="s">
        <v>127</v>
      </c>
      <c r="C107" s="2">
        <v>1</v>
      </c>
      <c r="D107" s="2">
        <v>3050.45</v>
      </c>
      <c r="E107" s="2">
        <v>3050.45</v>
      </c>
      <c r="F107" s="2" t="s">
        <v>137</v>
      </c>
      <c r="G107" s="2" t="s">
        <v>144</v>
      </c>
    </row>
    <row r="108" spans="1:7" x14ac:dyDescent="0.25">
      <c r="A108" s="2" t="s">
        <v>37</v>
      </c>
      <c r="B108" s="2" t="s">
        <v>130</v>
      </c>
      <c r="C108" s="2">
        <v>1</v>
      </c>
      <c r="D108" s="2">
        <v>2071.33</v>
      </c>
      <c r="E108" s="2">
        <v>2071.33</v>
      </c>
      <c r="F108" s="2" t="s">
        <v>137</v>
      </c>
      <c r="G108" s="2" t="s">
        <v>145</v>
      </c>
    </row>
    <row r="109" spans="1:7" x14ac:dyDescent="0.25">
      <c r="A109" s="2" t="s">
        <v>77</v>
      </c>
      <c r="B109" s="2" t="s">
        <v>131</v>
      </c>
      <c r="C109" s="2">
        <v>1</v>
      </c>
      <c r="D109" s="2">
        <v>3400.85</v>
      </c>
      <c r="E109" s="2">
        <v>3400.85</v>
      </c>
      <c r="F109" s="2" t="s">
        <v>141</v>
      </c>
      <c r="G109" s="2" t="s">
        <v>144</v>
      </c>
    </row>
    <row r="110" spans="1:7" x14ac:dyDescent="0.25">
      <c r="A110" s="2" t="s">
        <v>82</v>
      </c>
      <c r="B110" s="2" t="s">
        <v>134</v>
      </c>
      <c r="C110" s="2">
        <v>14</v>
      </c>
      <c r="D110" s="2">
        <v>2472.65</v>
      </c>
      <c r="E110" s="2">
        <v>34617.1</v>
      </c>
      <c r="F110" s="2" t="s">
        <v>141</v>
      </c>
      <c r="G110" s="2" t="s">
        <v>143</v>
      </c>
    </row>
    <row r="111" spans="1:7" x14ac:dyDescent="0.25">
      <c r="A111" s="2" t="s">
        <v>83</v>
      </c>
      <c r="B111" s="2" t="s">
        <v>129</v>
      </c>
      <c r="C111" s="2">
        <v>2</v>
      </c>
      <c r="D111" s="2">
        <v>3342.66</v>
      </c>
      <c r="E111" s="2">
        <v>6685.32</v>
      </c>
      <c r="F111" s="2" t="s">
        <v>140</v>
      </c>
      <c r="G111" s="2" t="s">
        <v>142</v>
      </c>
    </row>
    <row r="112" spans="1:7" x14ac:dyDescent="0.25">
      <c r="A112" s="2" t="s">
        <v>27</v>
      </c>
      <c r="B112" s="2" t="s">
        <v>130</v>
      </c>
      <c r="C112" s="2">
        <v>4</v>
      </c>
      <c r="D112" s="2">
        <v>2636.14</v>
      </c>
      <c r="E112" s="2">
        <v>10544.56</v>
      </c>
      <c r="F112" s="2" t="s">
        <v>141</v>
      </c>
      <c r="G112" s="2" t="s">
        <v>146</v>
      </c>
    </row>
    <row r="113" spans="1:7" x14ac:dyDescent="0.25">
      <c r="A113" s="2" t="s">
        <v>84</v>
      </c>
      <c r="B113" s="2" t="s">
        <v>132</v>
      </c>
      <c r="C113" s="2">
        <v>7</v>
      </c>
      <c r="D113" s="2">
        <v>811.41</v>
      </c>
      <c r="E113" s="2">
        <v>5679.87</v>
      </c>
      <c r="F113" s="2" t="s">
        <v>137</v>
      </c>
      <c r="G113" s="2" t="s">
        <v>146</v>
      </c>
    </row>
    <row r="114" spans="1:7" x14ac:dyDescent="0.25">
      <c r="A114" s="2" t="s">
        <v>82</v>
      </c>
      <c r="B114" s="2" t="s">
        <v>126</v>
      </c>
      <c r="C114" s="2">
        <v>19</v>
      </c>
      <c r="D114" s="2">
        <v>1571.83</v>
      </c>
      <c r="E114" s="2">
        <v>29864.77</v>
      </c>
      <c r="F114" s="2" t="s">
        <v>138</v>
      </c>
      <c r="G114" s="2" t="s">
        <v>144</v>
      </c>
    </row>
    <row r="115" spans="1:7" x14ac:dyDescent="0.25">
      <c r="A115" s="2" t="s">
        <v>85</v>
      </c>
      <c r="B115" s="2" t="s">
        <v>129</v>
      </c>
      <c r="C115" s="2">
        <v>19</v>
      </c>
      <c r="D115" s="2">
        <v>2331.81</v>
      </c>
      <c r="E115" s="2">
        <v>44304.39</v>
      </c>
      <c r="F115" s="2" t="s">
        <v>141</v>
      </c>
      <c r="G115" s="2" t="s">
        <v>143</v>
      </c>
    </row>
    <row r="116" spans="1:7" x14ac:dyDescent="0.25">
      <c r="A116" s="2" t="s">
        <v>86</v>
      </c>
      <c r="B116" s="2" t="s">
        <v>133</v>
      </c>
      <c r="C116" s="2">
        <v>9</v>
      </c>
      <c r="D116" s="2">
        <v>126.15</v>
      </c>
      <c r="E116" s="2">
        <v>1135.3499999999999</v>
      </c>
      <c r="F116" s="2" t="s">
        <v>136</v>
      </c>
      <c r="G116" s="2" t="s">
        <v>145</v>
      </c>
    </row>
    <row r="117" spans="1:7" x14ac:dyDescent="0.25">
      <c r="A117" s="2" t="s">
        <v>43</v>
      </c>
      <c r="B117" s="2" t="s">
        <v>129</v>
      </c>
      <c r="C117" s="2">
        <v>7</v>
      </c>
      <c r="D117" s="2">
        <v>3088.95</v>
      </c>
      <c r="E117" s="2">
        <v>21622.65</v>
      </c>
      <c r="F117" s="2" t="s">
        <v>139</v>
      </c>
      <c r="G117" s="2" t="s">
        <v>146</v>
      </c>
    </row>
    <row r="118" spans="1:7" x14ac:dyDescent="0.25">
      <c r="A118" s="2" t="s">
        <v>19</v>
      </c>
      <c r="B118" s="2" t="s">
        <v>127</v>
      </c>
      <c r="C118" s="2">
        <v>3</v>
      </c>
      <c r="D118" s="2">
        <v>2728.28</v>
      </c>
      <c r="E118" s="2">
        <v>8184.84</v>
      </c>
      <c r="F118" s="2" t="s">
        <v>136</v>
      </c>
      <c r="G118" s="2" t="s">
        <v>144</v>
      </c>
    </row>
    <row r="119" spans="1:7" x14ac:dyDescent="0.25">
      <c r="A119" s="2" t="s">
        <v>87</v>
      </c>
      <c r="B119" s="2" t="s">
        <v>130</v>
      </c>
      <c r="C119" s="2">
        <v>16</v>
      </c>
      <c r="D119" s="2">
        <v>177.18</v>
      </c>
      <c r="E119" s="2">
        <v>2834.88</v>
      </c>
      <c r="F119" s="2" t="s">
        <v>141</v>
      </c>
      <c r="G119" s="2" t="s">
        <v>144</v>
      </c>
    </row>
    <row r="120" spans="1:7" x14ac:dyDescent="0.25">
      <c r="A120" s="2" t="s">
        <v>88</v>
      </c>
      <c r="B120" s="2" t="s">
        <v>135</v>
      </c>
      <c r="C120" s="2">
        <v>6</v>
      </c>
      <c r="D120" s="2">
        <v>1887.76</v>
      </c>
      <c r="E120" s="2">
        <v>11326.56</v>
      </c>
      <c r="F120" s="2" t="s">
        <v>136</v>
      </c>
      <c r="G120" s="2" t="s">
        <v>142</v>
      </c>
    </row>
    <row r="121" spans="1:7" x14ac:dyDescent="0.25">
      <c r="A121" s="2" t="s">
        <v>67</v>
      </c>
      <c r="B121" s="2" t="s">
        <v>130</v>
      </c>
      <c r="C121" s="2">
        <v>6</v>
      </c>
      <c r="D121" s="2">
        <v>577.46</v>
      </c>
      <c r="E121" s="2">
        <v>3464.76</v>
      </c>
      <c r="F121" s="2" t="s">
        <v>138</v>
      </c>
      <c r="G121" s="2" t="s">
        <v>145</v>
      </c>
    </row>
    <row r="122" spans="1:7" x14ac:dyDescent="0.25">
      <c r="A122" s="2" t="s">
        <v>45</v>
      </c>
      <c r="B122" s="2" t="s">
        <v>126</v>
      </c>
      <c r="C122" s="2">
        <v>10</v>
      </c>
      <c r="D122" s="2">
        <v>176.9</v>
      </c>
      <c r="E122" s="2">
        <v>1769</v>
      </c>
      <c r="F122" s="2" t="s">
        <v>140</v>
      </c>
      <c r="G122" s="2" t="s">
        <v>143</v>
      </c>
    </row>
    <row r="123" spans="1:7" x14ac:dyDescent="0.25">
      <c r="A123" s="2" t="s">
        <v>89</v>
      </c>
      <c r="B123" s="2" t="s">
        <v>127</v>
      </c>
      <c r="C123" s="2">
        <v>20</v>
      </c>
      <c r="D123" s="2">
        <v>1985.21</v>
      </c>
      <c r="E123" s="2">
        <v>39704.199999999997</v>
      </c>
      <c r="F123" s="2" t="s">
        <v>136</v>
      </c>
      <c r="G123" s="2" t="s">
        <v>144</v>
      </c>
    </row>
    <row r="124" spans="1:7" x14ac:dyDescent="0.25">
      <c r="A124" s="2" t="s">
        <v>90</v>
      </c>
      <c r="B124" s="2" t="s">
        <v>135</v>
      </c>
      <c r="C124" s="2">
        <v>13</v>
      </c>
      <c r="D124" s="2">
        <v>1496.16</v>
      </c>
      <c r="E124" s="2">
        <v>19450.080000000002</v>
      </c>
      <c r="F124" s="2" t="s">
        <v>140</v>
      </c>
      <c r="G124" s="2" t="s">
        <v>145</v>
      </c>
    </row>
    <row r="125" spans="1:7" x14ac:dyDescent="0.25">
      <c r="A125" s="2" t="s">
        <v>16</v>
      </c>
      <c r="B125" s="2" t="s">
        <v>128</v>
      </c>
      <c r="C125" s="2">
        <v>1</v>
      </c>
      <c r="D125" s="2">
        <v>1327.9</v>
      </c>
      <c r="E125" s="2">
        <v>1327.9</v>
      </c>
      <c r="F125" s="2" t="s">
        <v>138</v>
      </c>
      <c r="G125" s="2" t="s">
        <v>146</v>
      </c>
    </row>
    <row r="126" spans="1:7" x14ac:dyDescent="0.25">
      <c r="A126" s="2" t="s">
        <v>91</v>
      </c>
      <c r="B126" s="2" t="s">
        <v>134</v>
      </c>
      <c r="C126" s="2">
        <v>19</v>
      </c>
      <c r="D126" s="2">
        <v>931.48</v>
      </c>
      <c r="E126" s="2">
        <v>17698.12</v>
      </c>
      <c r="F126" s="2" t="s">
        <v>138</v>
      </c>
      <c r="G126" s="2" t="s">
        <v>142</v>
      </c>
    </row>
    <row r="127" spans="1:7" x14ac:dyDescent="0.25">
      <c r="A127" s="2" t="s">
        <v>92</v>
      </c>
      <c r="B127" s="2" t="s">
        <v>129</v>
      </c>
      <c r="C127" s="2">
        <v>3</v>
      </c>
      <c r="D127" s="2">
        <v>1226.3699999999999</v>
      </c>
      <c r="E127" s="2">
        <v>3679.11</v>
      </c>
      <c r="F127" s="2" t="s">
        <v>136</v>
      </c>
      <c r="G127" s="2" t="s">
        <v>145</v>
      </c>
    </row>
    <row r="128" spans="1:7" x14ac:dyDescent="0.25">
      <c r="A128" s="2" t="s">
        <v>12</v>
      </c>
      <c r="B128" s="2" t="s">
        <v>126</v>
      </c>
      <c r="C128" s="2">
        <v>4</v>
      </c>
      <c r="D128" s="2">
        <v>3086.42</v>
      </c>
      <c r="E128" s="2">
        <v>12345.68</v>
      </c>
      <c r="F128" s="2" t="s">
        <v>141</v>
      </c>
      <c r="G128" s="2" t="s">
        <v>143</v>
      </c>
    </row>
    <row r="129" spans="1:7" x14ac:dyDescent="0.25">
      <c r="A129" s="2" t="s">
        <v>58</v>
      </c>
      <c r="B129" s="2" t="s">
        <v>133</v>
      </c>
      <c r="C129" s="2">
        <v>15</v>
      </c>
      <c r="D129" s="2">
        <v>2846.32</v>
      </c>
      <c r="E129" s="2">
        <v>42694.8</v>
      </c>
      <c r="F129" s="2" t="s">
        <v>136</v>
      </c>
      <c r="G129" s="2" t="s">
        <v>146</v>
      </c>
    </row>
    <row r="130" spans="1:7" x14ac:dyDescent="0.25">
      <c r="A130" s="2" t="s">
        <v>93</v>
      </c>
      <c r="B130" s="2" t="s">
        <v>128</v>
      </c>
      <c r="C130" s="2">
        <v>15</v>
      </c>
      <c r="D130" s="2">
        <v>2379.4699999999998</v>
      </c>
      <c r="E130" s="2">
        <v>35692.050000000003</v>
      </c>
      <c r="F130" s="2" t="s">
        <v>139</v>
      </c>
      <c r="G130" s="2" t="s">
        <v>142</v>
      </c>
    </row>
    <row r="131" spans="1:7" x14ac:dyDescent="0.25">
      <c r="A131" s="2" t="s">
        <v>94</v>
      </c>
      <c r="B131" s="2" t="s">
        <v>130</v>
      </c>
      <c r="C131" s="2">
        <v>5</v>
      </c>
      <c r="D131" s="2">
        <v>2043.06</v>
      </c>
      <c r="E131" s="2">
        <v>10215.299999999999</v>
      </c>
      <c r="F131" s="2" t="s">
        <v>141</v>
      </c>
      <c r="G131" s="2" t="s">
        <v>146</v>
      </c>
    </row>
    <row r="132" spans="1:7" x14ac:dyDescent="0.25">
      <c r="A132" s="2" t="s">
        <v>91</v>
      </c>
      <c r="B132" s="2" t="s">
        <v>128</v>
      </c>
      <c r="C132" s="2">
        <v>11</v>
      </c>
      <c r="D132" s="2">
        <v>3394.09</v>
      </c>
      <c r="E132" s="2">
        <v>37334.99</v>
      </c>
      <c r="F132" s="2" t="s">
        <v>141</v>
      </c>
      <c r="G132" s="2" t="s">
        <v>144</v>
      </c>
    </row>
    <row r="133" spans="1:7" x14ac:dyDescent="0.25">
      <c r="A133" s="2" t="s">
        <v>39</v>
      </c>
      <c r="B133" s="2" t="s">
        <v>132</v>
      </c>
      <c r="C133" s="2">
        <v>14</v>
      </c>
      <c r="D133" s="2">
        <v>1690.28</v>
      </c>
      <c r="E133" s="2">
        <v>23663.919999999998</v>
      </c>
      <c r="F133" s="2" t="s">
        <v>140</v>
      </c>
      <c r="G133" s="2" t="s">
        <v>143</v>
      </c>
    </row>
    <row r="134" spans="1:7" x14ac:dyDescent="0.25">
      <c r="A134" s="2" t="s">
        <v>84</v>
      </c>
      <c r="B134" s="2" t="s">
        <v>129</v>
      </c>
      <c r="C134" s="2">
        <v>4</v>
      </c>
      <c r="D134" s="2">
        <v>236.96</v>
      </c>
      <c r="E134" s="2">
        <v>947.84</v>
      </c>
      <c r="F134" s="2" t="s">
        <v>141</v>
      </c>
      <c r="G134" s="2" t="s">
        <v>143</v>
      </c>
    </row>
    <row r="135" spans="1:7" x14ac:dyDescent="0.25">
      <c r="A135" s="2" t="s">
        <v>60</v>
      </c>
      <c r="B135" s="2" t="s">
        <v>129</v>
      </c>
      <c r="C135" s="2">
        <v>11</v>
      </c>
      <c r="D135" s="2">
        <v>3039.12</v>
      </c>
      <c r="E135" s="2">
        <v>33430.32</v>
      </c>
      <c r="F135" s="2" t="s">
        <v>140</v>
      </c>
      <c r="G135" s="2" t="s">
        <v>145</v>
      </c>
    </row>
    <row r="136" spans="1:7" x14ac:dyDescent="0.25">
      <c r="A136" s="2" t="s">
        <v>40</v>
      </c>
      <c r="B136" s="2" t="s">
        <v>133</v>
      </c>
      <c r="C136" s="2">
        <v>15</v>
      </c>
      <c r="D136" s="2">
        <v>1056.25</v>
      </c>
      <c r="E136" s="2">
        <v>15843.75</v>
      </c>
      <c r="F136" s="2" t="s">
        <v>139</v>
      </c>
      <c r="G136" s="2" t="s">
        <v>145</v>
      </c>
    </row>
    <row r="137" spans="1:7" x14ac:dyDescent="0.25">
      <c r="A137" s="2" t="s">
        <v>95</v>
      </c>
      <c r="B137" s="2" t="s">
        <v>127</v>
      </c>
      <c r="C137" s="2">
        <v>13</v>
      </c>
      <c r="D137" s="2">
        <v>2039.39</v>
      </c>
      <c r="E137" s="2">
        <v>26512.07</v>
      </c>
      <c r="F137" s="2" t="s">
        <v>140</v>
      </c>
      <c r="G137" s="2" t="s">
        <v>142</v>
      </c>
    </row>
    <row r="138" spans="1:7" x14ac:dyDescent="0.25">
      <c r="A138" s="2" t="s">
        <v>96</v>
      </c>
      <c r="B138" s="2" t="s">
        <v>128</v>
      </c>
      <c r="C138" s="2">
        <v>20</v>
      </c>
      <c r="D138" s="2">
        <v>2601.65</v>
      </c>
      <c r="E138" s="2">
        <v>52033</v>
      </c>
      <c r="F138" s="2" t="s">
        <v>140</v>
      </c>
      <c r="G138" s="2" t="s">
        <v>143</v>
      </c>
    </row>
    <row r="139" spans="1:7" x14ac:dyDescent="0.25">
      <c r="A139" s="2" t="s">
        <v>13</v>
      </c>
      <c r="B139" s="2" t="s">
        <v>128</v>
      </c>
      <c r="C139" s="2">
        <v>5</v>
      </c>
      <c r="D139" s="2">
        <v>1568.02</v>
      </c>
      <c r="E139" s="2">
        <v>7840.1</v>
      </c>
      <c r="F139" s="2" t="s">
        <v>137</v>
      </c>
      <c r="G139" s="2" t="s">
        <v>145</v>
      </c>
    </row>
    <row r="140" spans="1:7" x14ac:dyDescent="0.25">
      <c r="A140" s="2" t="s">
        <v>91</v>
      </c>
      <c r="B140" s="2" t="s">
        <v>129</v>
      </c>
      <c r="C140" s="2">
        <v>6</v>
      </c>
      <c r="D140" s="2">
        <v>819.62</v>
      </c>
      <c r="E140" s="2">
        <v>4917.72</v>
      </c>
      <c r="F140" s="2" t="s">
        <v>137</v>
      </c>
      <c r="G140" s="2" t="s">
        <v>143</v>
      </c>
    </row>
    <row r="141" spans="1:7" x14ac:dyDescent="0.25">
      <c r="A141" s="2" t="s">
        <v>28</v>
      </c>
      <c r="B141" s="2" t="s">
        <v>126</v>
      </c>
      <c r="C141" s="2">
        <v>7</v>
      </c>
      <c r="D141" s="2">
        <v>543.80999999999995</v>
      </c>
      <c r="E141" s="2">
        <v>3806.67</v>
      </c>
      <c r="F141" s="2" t="s">
        <v>139</v>
      </c>
      <c r="G141" s="2" t="s">
        <v>142</v>
      </c>
    </row>
    <row r="142" spans="1:7" x14ac:dyDescent="0.25">
      <c r="A142" s="2" t="s">
        <v>77</v>
      </c>
      <c r="B142" s="2" t="s">
        <v>133</v>
      </c>
      <c r="C142" s="2">
        <v>3</v>
      </c>
      <c r="D142" s="2">
        <v>308.39999999999998</v>
      </c>
      <c r="E142" s="2">
        <v>925.2</v>
      </c>
      <c r="F142" s="2" t="s">
        <v>141</v>
      </c>
      <c r="G142" s="2" t="s">
        <v>144</v>
      </c>
    </row>
    <row r="143" spans="1:7" x14ac:dyDescent="0.25">
      <c r="A143" s="2" t="s">
        <v>47</v>
      </c>
      <c r="B143" s="2" t="s">
        <v>132</v>
      </c>
      <c r="C143" s="2">
        <v>14</v>
      </c>
      <c r="D143" s="2">
        <v>141.46</v>
      </c>
      <c r="E143" s="2">
        <v>1980.44</v>
      </c>
      <c r="F143" s="2" t="s">
        <v>139</v>
      </c>
      <c r="G143" s="2" t="s">
        <v>144</v>
      </c>
    </row>
    <row r="144" spans="1:7" x14ac:dyDescent="0.25">
      <c r="A144" s="2" t="s">
        <v>97</v>
      </c>
      <c r="B144" s="2" t="s">
        <v>130</v>
      </c>
      <c r="C144" s="2">
        <v>6</v>
      </c>
      <c r="D144" s="2">
        <v>1396.84</v>
      </c>
      <c r="E144" s="2">
        <v>8381.0400000000009</v>
      </c>
      <c r="F144" s="2" t="s">
        <v>138</v>
      </c>
      <c r="G144" s="2" t="s">
        <v>142</v>
      </c>
    </row>
    <row r="145" spans="1:7" x14ac:dyDescent="0.25">
      <c r="A145" s="2" t="s">
        <v>14</v>
      </c>
      <c r="B145" s="2" t="s">
        <v>131</v>
      </c>
      <c r="C145" s="2">
        <v>7</v>
      </c>
      <c r="D145" s="2">
        <v>1777.26</v>
      </c>
      <c r="E145" s="2">
        <v>12440.82</v>
      </c>
      <c r="F145" s="2" t="s">
        <v>140</v>
      </c>
      <c r="G145" s="2" t="s">
        <v>145</v>
      </c>
    </row>
    <row r="146" spans="1:7" x14ac:dyDescent="0.25">
      <c r="A146" s="2" t="s">
        <v>61</v>
      </c>
      <c r="B146" s="2" t="s">
        <v>135</v>
      </c>
      <c r="C146" s="2">
        <v>3</v>
      </c>
      <c r="D146" s="2">
        <v>305.97000000000003</v>
      </c>
      <c r="E146" s="2">
        <v>917.91</v>
      </c>
      <c r="F146" s="2" t="s">
        <v>138</v>
      </c>
      <c r="G146" s="2" t="s">
        <v>143</v>
      </c>
    </row>
    <row r="147" spans="1:7" x14ac:dyDescent="0.25">
      <c r="A147" s="2" t="s">
        <v>98</v>
      </c>
      <c r="B147" s="2" t="s">
        <v>127</v>
      </c>
      <c r="C147" s="2">
        <v>8</v>
      </c>
      <c r="D147" s="2">
        <v>2104.9699999999998</v>
      </c>
      <c r="E147" s="2">
        <v>16839.759999999998</v>
      </c>
      <c r="F147" s="2" t="s">
        <v>140</v>
      </c>
      <c r="G147" s="2" t="s">
        <v>146</v>
      </c>
    </row>
    <row r="148" spans="1:7" x14ac:dyDescent="0.25">
      <c r="A148" s="2" t="s">
        <v>99</v>
      </c>
      <c r="B148" s="2" t="s">
        <v>131</v>
      </c>
      <c r="C148" s="2">
        <v>10</v>
      </c>
      <c r="D148" s="2">
        <v>925.31</v>
      </c>
      <c r="E148" s="2">
        <v>9253.1</v>
      </c>
      <c r="F148" s="2" t="s">
        <v>137</v>
      </c>
      <c r="G148" s="2" t="s">
        <v>146</v>
      </c>
    </row>
    <row r="149" spans="1:7" x14ac:dyDescent="0.25">
      <c r="A149" s="2" t="s">
        <v>83</v>
      </c>
      <c r="B149" s="2" t="s">
        <v>130</v>
      </c>
      <c r="C149" s="2">
        <v>18</v>
      </c>
      <c r="D149" s="2">
        <v>2211.94</v>
      </c>
      <c r="E149" s="2">
        <v>39814.92</v>
      </c>
      <c r="F149" s="2" t="s">
        <v>137</v>
      </c>
      <c r="G149" s="2" t="s">
        <v>146</v>
      </c>
    </row>
    <row r="150" spans="1:7" x14ac:dyDescent="0.25">
      <c r="A150" s="2" t="s">
        <v>36</v>
      </c>
      <c r="B150" s="2" t="s">
        <v>129</v>
      </c>
      <c r="C150" s="2">
        <v>15</v>
      </c>
      <c r="D150" s="2">
        <v>1906.03</v>
      </c>
      <c r="E150" s="2">
        <v>28590.45</v>
      </c>
      <c r="F150" s="2" t="s">
        <v>140</v>
      </c>
      <c r="G150" s="2" t="s">
        <v>146</v>
      </c>
    </row>
    <row r="151" spans="1:7" x14ac:dyDescent="0.25">
      <c r="A151" s="2" t="s">
        <v>100</v>
      </c>
      <c r="B151" s="2" t="s">
        <v>135</v>
      </c>
      <c r="C151" s="2">
        <v>2</v>
      </c>
      <c r="D151" s="2">
        <v>3398.34</v>
      </c>
      <c r="E151" s="2">
        <v>6796.68</v>
      </c>
      <c r="F151" s="2" t="s">
        <v>137</v>
      </c>
      <c r="G151" s="2" t="s">
        <v>146</v>
      </c>
    </row>
    <row r="152" spans="1:7" x14ac:dyDescent="0.25">
      <c r="A152" s="2" t="s">
        <v>101</v>
      </c>
      <c r="B152" s="2" t="s">
        <v>127</v>
      </c>
      <c r="C152" s="2">
        <v>20</v>
      </c>
      <c r="D152" s="2">
        <v>88.91</v>
      </c>
      <c r="E152" s="2">
        <v>1778.2</v>
      </c>
      <c r="F152" s="2" t="s">
        <v>137</v>
      </c>
      <c r="G152" s="2" t="s">
        <v>142</v>
      </c>
    </row>
    <row r="153" spans="1:7" x14ac:dyDescent="0.25">
      <c r="A153" s="2" t="s">
        <v>102</v>
      </c>
      <c r="B153" s="2" t="s">
        <v>134</v>
      </c>
      <c r="C153" s="2">
        <v>14</v>
      </c>
      <c r="D153" s="2">
        <v>3225.66</v>
      </c>
      <c r="E153" s="2">
        <v>45159.24</v>
      </c>
      <c r="F153" s="2" t="s">
        <v>139</v>
      </c>
      <c r="G153" s="2" t="s">
        <v>143</v>
      </c>
    </row>
    <row r="154" spans="1:7" x14ac:dyDescent="0.25">
      <c r="A154" s="2" t="s">
        <v>103</v>
      </c>
      <c r="B154" s="2" t="s">
        <v>130</v>
      </c>
      <c r="C154" s="2">
        <v>5</v>
      </c>
      <c r="D154" s="2">
        <v>1276.78</v>
      </c>
      <c r="E154" s="2">
        <v>6383.9</v>
      </c>
      <c r="F154" s="2" t="s">
        <v>136</v>
      </c>
      <c r="G154" s="2" t="s">
        <v>142</v>
      </c>
    </row>
    <row r="155" spans="1:7" x14ac:dyDescent="0.25">
      <c r="A155" s="2" t="s">
        <v>104</v>
      </c>
      <c r="B155" s="2" t="s">
        <v>129</v>
      </c>
      <c r="C155" s="2">
        <v>4</v>
      </c>
      <c r="D155" s="2">
        <v>1753.94</v>
      </c>
      <c r="E155" s="2">
        <v>7015.76</v>
      </c>
      <c r="F155" s="2" t="s">
        <v>138</v>
      </c>
      <c r="G155" s="2" t="s">
        <v>142</v>
      </c>
    </row>
    <row r="156" spans="1:7" x14ac:dyDescent="0.25">
      <c r="A156" s="2" t="s">
        <v>105</v>
      </c>
      <c r="B156" s="2" t="s">
        <v>135</v>
      </c>
      <c r="C156" s="2">
        <v>8</v>
      </c>
      <c r="D156" s="2">
        <v>2143.34</v>
      </c>
      <c r="E156" s="2">
        <v>17146.72</v>
      </c>
      <c r="F156" s="2" t="s">
        <v>139</v>
      </c>
      <c r="G156" s="2" t="s">
        <v>143</v>
      </c>
    </row>
    <row r="157" spans="1:7" x14ac:dyDescent="0.25">
      <c r="A157" s="2" t="s">
        <v>106</v>
      </c>
      <c r="B157" s="2" t="s">
        <v>135</v>
      </c>
      <c r="C157" s="2">
        <v>18</v>
      </c>
      <c r="D157" s="2">
        <v>1124.6400000000001</v>
      </c>
      <c r="E157" s="2">
        <v>20243.52</v>
      </c>
      <c r="F157" s="2" t="s">
        <v>138</v>
      </c>
      <c r="G157" s="2" t="s">
        <v>144</v>
      </c>
    </row>
    <row r="158" spans="1:7" x14ac:dyDescent="0.25">
      <c r="A158" s="2" t="s">
        <v>56</v>
      </c>
      <c r="B158" s="2" t="s">
        <v>134</v>
      </c>
      <c r="C158" s="2">
        <v>5</v>
      </c>
      <c r="D158" s="2">
        <v>3058.97</v>
      </c>
      <c r="E158" s="2">
        <v>15294.85</v>
      </c>
      <c r="F158" s="2" t="s">
        <v>138</v>
      </c>
      <c r="G158" s="2" t="s">
        <v>142</v>
      </c>
    </row>
    <row r="159" spans="1:7" x14ac:dyDescent="0.25">
      <c r="A159" s="2" t="s">
        <v>107</v>
      </c>
      <c r="B159" s="2" t="s">
        <v>128</v>
      </c>
      <c r="C159" s="2">
        <v>17</v>
      </c>
      <c r="D159" s="2">
        <v>624.35</v>
      </c>
      <c r="E159" s="2">
        <v>10613.95</v>
      </c>
      <c r="F159" s="2" t="s">
        <v>138</v>
      </c>
      <c r="G159" s="2" t="s">
        <v>142</v>
      </c>
    </row>
    <row r="160" spans="1:7" x14ac:dyDescent="0.25">
      <c r="A160" s="2" t="s">
        <v>58</v>
      </c>
      <c r="B160" s="2" t="s">
        <v>132</v>
      </c>
      <c r="C160" s="2">
        <v>20</v>
      </c>
      <c r="D160" s="2">
        <v>1831.86</v>
      </c>
      <c r="E160" s="2">
        <v>36637.199999999997</v>
      </c>
      <c r="F160" s="2" t="s">
        <v>136</v>
      </c>
      <c r="G160" s="2" t="s">
        <v>146</v>
      </c>
    </row>
    <row r="161" spans="1:7" x14ac:dyDescent="0.25">
      <c r="A161" s="2" t="s">
        <v>108</v>
      </c>
      <c r="B161" s="2" t="s">
        <v>132</v>
      </c>
      <c r="C161" s="2">
        <v>3</v>
      </c>
      <c r="D161" s="2">
        <v>3111.41</v>
      </c>
      <c r="E161" s="2">
        <v>9334.23</v>
      </c>
      <c r="F161" s="2" t="s">
        <v>138</v>
      </c>
      <c r="G161" s="2" t="s">
        <v>144</v>
      </c>
    </row>
    <row r="162" spans="1:7" x14ac:dyDescent="0.25">
      <c r="A162" s="2" t="s">
        <v>109</v>
      </c>
      <c r="B162" s="2" t="s">
        <v>134</v>
      </c>
      <c r="C162" s="2">
        <v>6</v>
      </c>
      <c r="D162" s="2">
        <v>2479.0300000000002</v>
      </c>
      <c r="E162" s="2">
        <v>14874.18</v>
      </c>
      <c r="F162" s="2" t="s">
        <v>138</v>
      </c>
      <c r="G162" s="2" t="s">
        <v>143</v>
      </c>
    </row>
    <row r="163" spans="1:7" x14ac:dyDescent="0.25">
      <c r="A163" s="2" t="s">
        <v>110</v>
      </c>
      <c r="B163" s="2" t="s">
        <v>126</v>
      </c>
      <c r="C163" s="2">
        <v>18</v>
      </c>
      <c r="D163" s="2">
        <v>584.85</v>
      </c>
      <c r="E163" s="2">
        <v>10527.3</v>
      </c>
      <c r="F163" s="2" t="s">
        <v>137</v>
      </c>
      <c r="G163" s="2" t="s">
        <v>145</v>
      </c>
    </row>
    <row r="164" spans="1:7" x14ac:dyDescent="0.25">
      <c r="A164" s="2" t="s">
        <v>111</v>
      </c>
      <c r="B164" s="2" t="s">
        <v>132</v>
      </c>
      <c r="C164" s="2">
        <v>11</v>
      </c>
      <c r="D164" s="2">
        <v>221.82</v>
      </c>
      <c r="E164" s="2">
        <v>2440.02</v>
      </c>
      <c r="F164" s="2" t="s">
        <v>139</v>
      </c>
      <c r="G164" s="2" t="s">
        <v>144</v>
      </c>
    </row>
    <row r="165" spans="1:7" x14ac:dyDescent="0.25">
      <c r="A165" s="2" t="s">
        <v>112</v>
      </c>
      <c r="B165" s="2" t="s">
        <v>128</v>
      </c>
      <c r="C165" s="2">
        <v>14</v>
      </c>
      <c r="D165" s="2">
        <v>156.13</v>
      </c>
      <c r="E165" s="2">
        <v>2185.8200000000002</v>
      </c>
      <c r="F165" s="2" t="s">
        <v>141</v>
      </c>
      <c r="G165" s="2" t="s">
        <v>146</v>
      </c>
    </row>
    <row r="166" spans="1:7" x14ac:dyDescent="0.25">
      <c r="A166" s="2" t="s">
        <v>82</v>
      </c>
      <c r="B166" s="2" t="s">
        <v>135</v>
      </c>
      <c r="C166" s="2">
        <v>18</v>
      </c>
      <c r="D166" s="2">
        <v>2846.33</v>
      </c>
      <c r="E166" s="2">
        <v>51233.94</v>
      </c>
      <c r="F166" s="2" t="s">
        <v>139</v>
      </c>
      <c r="G166" s="2" t="s">
        <v>143</v>
      </c>
    </row>
    <row r="167" spans="1:7" x14ac:dyDescent="0.25">
      <c r="A167" s="2" t="s">
        <v>65</v>
      </c>
      <c r="B167" s="2" t="s">
        <v>132</v>
      </c>
      <c r="C167" s="2">
        <v>14</v>
      </c>
      <c r="D167" s="2">
        <v>1537.13</v>
      </c>
      <c r="E167" s="2">
        <v>21519.82</v>
      </c>
      <c r="F167" s="2" t="s">
        <v>137</v>
      </c>
      <c r="G167" s="2" t="s">
        <v>143</v>
      </c>
    </row>
    <row r="168" spans="1:7" x14ac:dyDescent="0.25">
      <c r="A168" s="2" t="s">
        <v>20</v>
      </c>
      <c r="B168" s="2" t="s">
        <v>126</v>
      </c>
      <c r="C168" s="2">
        <v>8</v>
      </c>
      <c r="D168" s="2">
        <v>1351.04</v>
      </c>
      <c r="E168" s="2">
        <v>10808.32</v>
      </c>
      <c r="F168" s="2" t="s">
        <v>137</v>
      </c>
      <c r="G168" s="2" t="s">
        <v>145</v>
      </c>
    </row>
    <row r="169" spans="1:7" x14ac:dyDescent="0.25">
      <c r="A169" s="2" t="s">
        <v>113</v>
      </c>
      <c r="B169" s="2" t="s">
        <v>127</v>
      </c>
      <c r="C169" s="2">
        <v>10</v>
      </c>
      <c r="D169" s="2">
        <v>3061.27</v>
      </c>
      <c r="E169" s="2">
        <v>30612.7</v>
      </c>
      <c r="F169" s="2" t="s">
        <v>140</v>
      </c>
      <c r="G169" s="2" t="s">
        <v>142</v>
      </c>
    </row>
    <row r="170" spans="1:7" x14ac:dyDescent="0.25">
      <c r="A170" s="2" t="s">
        <v>114</v>
      </c>
      <c r="B170" s="2" t="s">
        <v>135</v>
      </c>
      <c r="C170" s="2">
        <v>9</v>
      </c>
      <c r="D170" s="2">
        <v>3343.41</v>
      </c>
      <c r="E170" s="2">
        <v>30090.69</v>
      </c>
      <c r="F170" s="2" t="s">
        <v>136</v>
      </c>
      <c r="G170" s="2" t="s">
        <v>145</v>
      </c>
    </row>
    <row r="171" spans="1:7" x14ac:dyDescent="0.25">
      <c r="A171" s="2" t="s">
        <v>94</v>
      </c>
      <c r="B171" s="2" t="s">
        <v>133</v>
      </c>
      <c r="C171" s="2">
        <v>1</v>
      </c>
      <c r="D171" s="2">
        <v>2515.73</v>
      </c>
      <c r="E171" s="2">
        <v>2515.73</v>
      </c>
      <c r="F171" s="2" t="s">
        <v>141</v>
      </c>
      <c r="G171" s="2" t="s">
        <v>145</v>
      </c>
    </row>
    <row r="172" spans="1:7" x14ac:dyDescent="0.25">
      <c r="A172" s="2" t="s">
        <v>52</v>
      </c>
      <c r="B172" s="2" t="s">
        <v>130</v>
      </c>
      <c r="C172" s="2">
        <v>3</v>
      </c>
      <c r="D172" s="2">
        <v>2320.42</v>
      </c>
      <c r="E172" s="2">
        <v>6961.26</v>
      </c>
      <c r="F172" s="2" t="s">
        <v>139</v>
      </c>
      <c r="G172" s="2" t="s">
        <v>142</v>
      </c>
    </row>
    <row r="173" spans="1:7" x14ac:dyDescent="0.25">
      <c r="A173" s="2" t="s">
        <v>51</v>
      </c>
      <c r="B173" s="2" t="s">
        <v>128</v>
      </c>
      <c r="C173" s="2">
        <v>14</v>
      </c>
      <c r="D173" s="2">
        <v>1919.91</v>
      </c>
      <c r="E173" s="2">
        <v>26878.74</v>
      </c>
      <c r="F173" s="2" t="s">
        <v>139</v>
      </c>
      <c r="G173" s="2" t="s">
        <v>144</v>
      </c>
    </row>
    <row r="174" spans="1:7" x14ac:dyDescent="0.25">
      <c r="A174" s="2" t="s">
        <v>115</v>
      </c>
      <c r="B174" s="2" t="s">
        <v>132</v>
      </c>
      <c r="C174" s="2">
        <v>15</v>
      </c>
      <c r="D174" s="2">
        <v>1757.56</v>
      </c>
      <c r="E174" s="2">
        <v>26363.4</v>
      </c>
      <c r="F174" s="2" t="s">
        <v>141</v>
      </c>
      <c r="G174" s="2" t="s">
        <v>144</v>
      </c>
    </row>
    <row r="175" spans="1:7" x14ac:dyDescent="0.25">
      <c r="A175" s="2" t="s">
        <v>116</v>
      </c>
      <c r="B175" s="2" t="s">
        <v>129</v>
      </c>
      <c r="C175" s="2">
        <v>8</v>
      </c>
      <c r="D175" s="2">
        <v>3093.37</v>
      </c>
      <c r="E175" s="2">
        <v>24746.959999999999</v>
      </c>
      <c r="F175" s="2" t="s">
        <v>139</v>
      </c>
      <c r="G175" s="2" t="s">
        <v>142</v>
      </c>
    </row>
    <row r="176" spans="1:7" x14ac:dyDescent="0.25">
      <c r="A176" s="2" t="s">
        <v>117</v>
      </c>
      <c r="B176" s="2" t="s">
        <v>135</v>
      </c>
      <c r="C176" s="2">
        <v>7</v>
      </c>
      <c r="D176" s="2">
        <v>1003.87</v>
      </c>
      <c r="E176" s="2">
        <v>7027.09</v>
      </c>
      <c r="F176" s="2" t="s">
        <v>136</v>
      </c>
      <c r="G176" s="2" t="s">
        <v>143</v>
      </c>
    </row>
    <row r="177" spans="1:7" x14ac:dyDescent="0.25">
      <c r="A177" s="2" t="s">
        <v>118</v>
      </c>
      <c r="B177" s="2" t="s">
        <v>134</v>
      </c>
      <c r="C177" s="2">
        <v>2</v>
      </c>
      <c r="D177" s="2">
        <v>1643.05</v>
      </c>
      <c r="E177" s="2">
        <v>3286.1</v>
      </c>
      <c r="F177" s="2" t="s">
        <v>140</v>
      </c>
      <c r="G177" s="2" t="s">
        <v>142</v>
      </c>
    </row>
    <row r="178" spans="1:7" x14ac:dyDescent="0.25">
      <c r="A178" s="2" t="s">
        <v>119</v>
      </c>
      <c r="B178" s="2" t="s">
        <v>128</v>
      </c>
      <c r="C178" s="2">
        <v>11</v>
      </c>
      <c r="D178" s="2">
        <v>3219.3</v>
      </c>
      <c r="E178" s="2">
        <v>35412.300000000003</v>
      </c>
      <c r="F178" s="2" t="s">
        <v>141</v>
      </c>
      <c r="G178" s="2" t="s">
        <v>146</v>
      </c>
    </row>
    <row r="179" spans="1:7" x14ac:dyDescent="0.25">
      <c r="A179" s="2" t="s">
        <v>52</v>
      </c>
      <c r="B179" s="2" t="s">
        <v>126</v>
      </c>
      <c r="C179" s="2">
        <v>13</v>
      </c>
      <c r="D179" s="2">
        <v>1030.54</v>
      </c>
      <c r="E179" s="2">
        <v>13397.02</v>
      </c>
      <c r="F179" s="2" t="s">
        <v>137</v>
      </c>
      <c r="G179" s="2" t="s">
        <v>142</v>
      </c>
    </row>
    <row r="180" spans="1:7" x14ac:dyDescent="0.25">
      <c r="A180" s="2" t="s">
        <v>120</v>
      </c>
      <c r="B180" s="2" t="s">
        <v>130</v>
      </c>
      <c r="C180" s="2">
        <v>11</v>
      </c>
      <c r="D180" s="2">
        <v>515.73</v>
      </c>
      <c r="E180" s="2">
        <v>5673.03</v>
      </c>
      <c r="F180" s="2" t="s">
        <v>138</v>
      </c>
      <c r="G180" s="2" t="s">
        <v>146</v>
      </c>
    </row>
    <row r="181" spans="1:7" x14ac:dyDescent="0.25">
      <c r="A181" s="2" t="s">
        <v>121</v>
      </c>
      <c r="B181" s="2" t="s">
        <v>132</v>
      </c>
      <c r="C181" s="2">
        <v>13</v>
      </c>
      <c r="D181" s="2">
        <v>164.33</v>
      </c>
      <c r="E181" s="2">
        <v>2136.29</v>
      </c>
      <c r="F181" s="2" t="s">
        <v>139</v>
      </c>
      <c r="G181" s="2" t="s">
        <v>145</v>
      </c>
    </row>
    <row r="182" spans="1:7" x14ac:dyDescent="0.25">
      <c r="A182" s="2" t="s">
        <v>74</v>
      </c>
      <c r="B182" s="2" t="s">
        <v>129</v>
      </c>
      <c r="C182" s="2">
        <v>16</v>
      </c>
      <c r="D182" s="2">
        <v>794.95</v>
      </c>
      <c r="E182" s="2">
        <v>12719.2</v>
      </c>
      <c r="F182" s="2" t="s">
        <v>137</v>
      </c>
      <c r="G182" s="2" t="s">
        <v>146</v>
      </c>
    </row>
    <row r="183" spans="1:7" x14ac:dyDescent="0.25">
      <c r="A183" s="2" t="s">
        <v>59</v>
      </c>
      <c r="B183" s="2" t="s">
        <v>128</v>
      </c>
      <c r="C183" s="2">
        <v>11</v>
      </c>
      <c r="D183" s="2">
        <v>293.13</v>
      </c>
      <c r="E183" s="2">
        <v>3224.43</v>
      </c>
      <c r="F183" s="2" t="s">
        <v>141</v>
      </c>
      <c r="G183" s="2" t="s">
        <v>146</v>
      </c>
    </row>
    <row r="184" spans="1:7" x14ac:dyDescent="0.25">
      <c r="A184" s="2" t="s">
        <v>104</v>
      </c>
      <c r="B184" s="2" t="s">
        <v>132</v>
      </c>
      <c r="C184" s="2">
        <v>2</v>
      </c>
      <c r="D184" s="2">
        <v>381.65</v>
      </c>
      <c r="E184" s="2">
        <v>763.3</v>
      </c>
      <c r="F184" s="2" t="s">
        <v>138</v>
      </c>
      <c r="G184" s="2" t="s">
        <v>145</v>
      </c>
    </row>
    <row r="185" spans="1:7" x14ac:dyDescent="0.25">
      <c r="A185" s="2" t="s">
        <v>122</v>
      </c>
      <c r="B185" s="2" t="s">
        <v>135</v>
      </c>
      <c r="C185" s="2">
        <v>10</v>
      </c>
      <c r="D185" s="2">
        <v>1362.58</v>
      </c>
      <c r="E185" s="2">
        <v>13625.8</v>
      </c>
      <c r="F185" s="2" t="s">
        <v>138</v>
      </c>
      <c r="G185" s="2" t="s">
        <v>143</v>
      </c>
    </row>
    <row r="186" spans="1:7" x14ac:dyDescent="0.25">
      <c r="A186" s="2" t="s">
        <v>48</v>
      </c>
      <c r="B186" s="2" t="s">
        <v>128</v>
      </c>
      <c r="C186" s="2">
        <v>10</v>
      </c>
      <c r="D186" s="2">
        <v>3315.04</v>
      </c>
      <c r="E186" s="2">
        <v>33150.400000000001</v>
      </c>
      <c r="F186" s="2" t="s">
        <v>138</v>
      </c>
      <c r="G186" s="2" t="s">
        <v>143</v>
      </c>
    </row>
    <row r="187" spans="1:7" x14ac:dyDescent="0.25">
      <c r="A187" s="2" t="s">
        <v>117</v>
      </c>
      <c r="B187" s="2" t="s">
        <v>129</v>
      </c>
      <c r="C187" s="2">
        <v>9</v>
      </c>
      <c r="D187" s="2">
        <v>1777.69</v>
      </c>
      <c r="E187" s="2">
        <v>15999.21</v>
      </c>
      <c r="F187" s="2" t="s">
        <v>137</v>
      </c>
      <c r="G187" s="2" t="s">
        <v>146</v>
      </c>
    </row>
    <row r="188" spans="1:7" x14ac:dyDescent="0.25">
      <c r="A188" s="2" t="s">
        <v>67</v>
      </c>
      <c r="B188" s="2" t="s">
        <v>127</v>
      </c>
      <c r="C188" s="2">
        <v>2</v>
      </c>
      <c r="D188" s="2">
        <v>1195.5999999999999</v>
      </c>
      <c r="E188" s="2">
        <v>2391.1999999999998</v>
      </c>
      <c r="F188" s="2" t="s">
        <v>139</v>
      </c>
      <c r="G188" s="2" t="s">
        <v>142</v>
      </c>
    </row>
    <row r="189" spans="1:7" x14ac:dyDescent="0.25">
      <c r="A189" s="2" t="s">
        <v>123</v>
      </c>
      <c r="B189" s="2" t="s">
        <v>135</v>
      </c>
      <c r="C189" s="2">
        <v>8</v>
      </c>
      <c r="D189" s="2">
        <v>1052.6400000000001</v>
      </c>
      <c r="E189" s="2">
        <v>8421.1200000000008</v>
      </c>
      <c r="F189" s="2" t="s">
        <v>140</v>
      </c>
      <c r="G189" s="2" t="s">
        <v>143</v>
      </c>
    </row>
    <row r="190" spans="1:7" x14ac:dyDescent="0.25">
      <c r="A190" s="2" t="s">
        <v>98</v>
      </c>
      <c r="B190" s="2" t="s">
        <v>132</v>
      </c>
      <c r="C190" s="2">
        <v>14</v>
      </c>
      <c r="D190" s="2">
        <v>3263.7</v>
      </c>
      <c r="E190" s="2">
        <v>45691.8</v>
      </c>
      <c r="F190" s="2" t="s">
        <v>136</v>
      </c>
      <c r="G190" s="2" t="s">
        <v>145</v>
      </c>
    </row>
    <row r="191" spans="1:7" x14ac:dyDescent="0.25">
      <c r="A191" s="2" t="s">
        <v>107</v>
      </c>
      <c r="B191" s="2" t="s">
        <v>127</v>
      </c>
      <c r="C191" s="2">
        <v>4</v>
      </c>
      <c r="D191" s="2">
        <v>1295.4000000000001</v>
      </c>
      <c r="E191" s="2">
        <v>5181.6000000000004</v>
      </c>
      <c r="F191" s="2" t="s">
        <v>137</v>
      </c>
      <c r="G191" s="2" t="s">
        <v>144</v>
      </c>
    </row>
    <row r="192" spans="1:7" x14ac:dyDescent="0.25">
      <c r="A192" s="2" t="s">
        <v>52</v>
      </c>
      <c r="B192" s="2" t="s">
        <v>135</v>
      </c>
      <c r="C192" s="2">
        <v>14</v>
      </c>
      <c r="D192" s="2">
        <v>2022.99</v>
      </c>
      <c r="E192" s="2">
        <v>28321.86</v>
      </c>
      <c r="F192" s="2" t="s">
        <v>136</v>
      </c>
      <c r="G192" s="2" t="s">
        <v>143</v>
      </c>
    </row>
    <row r="193" spans="1:7" x14ac:dyDescent="0.25">
      <c r="A193" s="2" t="s">
        <v>120</v>
      </c>
      <c r="B193" s="2" t="s">
        <v>129</v>
      </c>
      <c r="C193" s="2">
        <v>17</v>
      </c>
      <c r="D193" s="2">
        <v>734.45</v>
      </c>
      <c r="E193" s="2">
        <v>12485.65</v>
      </c>
      <c r="F193" s="2" t="s">
        <v>140</v>
      </c>
      <c r="G193" s="2" t="s">
        <v>146</v>
      </c>
    </row>
    <row r="194" spans="1:7" x14ac:dyDescent="0.25">
      <c r="A194" s="2" t="s">
        <v>81</v>
      </c>
      <c r="B194" s="2" t="s">
        <v>133</v>
      </c>
      <c r="C194" s="2">
        <v>2</v>
      </c>
      <c r="D194" s="2">
        <v>3375.2</v>
      </c>
      <c r="E194" s="2">
        <v>6750.4</v>
      </c>
      <c r="F194" s="2" t="s">
        <v>141</v>
      </c>
      <c r="G194" s="2" t="s">
        <v>143</v>
      </c>
    </row>
    <row r="195" spans="1:7" x14ac:dyDescent="0.25">
      <c r="A195" s="2" t="s">
        <v>37</v>
      </c>
      <c r="B195" s="2" t="s">
        <v>134</v>
      </c>
      <c r="C195" s="2">
        <v>8</v>
      </c>
      <c r="D195" s="2">
        <v>1126.6500000000001</v>
      </c>
      <c r="E195" s="2">
        <v>9013.2000000000007</v>
      </c>
      <c r="F195" s="2" t="s">
        <v>137</v>
      </c>
      <c r="G195" s="2" t="s">
        <v>146</v>
      </c>
    </row>
    <row r="196" spans="1:7" x14ac:dyDescent="0.25">
      <c r="A196" s="2" t="s">
        <v>84</v>
      </c>
      <c r="B196" s="2" t="s">
        <v>133</v>
      </c>
      <c r="C196" s="2">
        <v>5</v>
      </c>
      <c r="D196" s="2">
        <v>3293.5</v>
      </c>
      <c r="E196" s="2">
        <v>16467.5</v>
      </c>
      <c r="F196" s="2" t="s">
        <v>136</v>
      </c>
      <c r="G196" s="2" t="s">
        <v>145</v>
      </c>
    </row>
    <row r="197" spans="1:7" x14ac:dyDescent="0.25">
      <c r="A197" s="2" t="s">
        <v>60</v>
      </c>
      <c r="B197" s="2" t="s">
        <v>128</v>
      </c>
      <c r="C197" s="2">
        <v>9</v>
      </c>
      <c r="D197" s="2">
        <v>3350.13</v>
      </c>
      <c r="E197" s="2">
        <v>30151.17</v>
      </c>
      <c r="F197" s="2" t="s">
        <v>137</v>
      </c>
      <c r="G197" s="2" t="s">
        <v>145</v>
      </c>
    </row>
    <row r="198" spans="1:7" x14ac:dyDescent="0.25">
      <c r="A198" s="2" t="s">
        <v>95</v>
      </c>
      <c r="B198" s="2" t="s">
        <v>133</v>
      </c>
      <c r="C198" s="2">
        <v>2</v>
      </c>
      <c r="D198" s="2">
        <v>2094.09</v>
      </c>
      <c r="E198" s="2">
        <v>4188.18</v>
      </c>
      <c r="F198" s="2" t="s">
        <v>136</v>
      </c>
      <c r="G198" s="2" t="s">
        <v>142</v>
      </c>
    </row>
    <row r="199" spans="1:7" x14ac:dyDescent="0.25">
      <c r="A199" s="2" t="s">
        <v>124</v>
      </c>
      <c r="B199" s="2" t="s">
        <v>132</v>
      </c>
      <c r="C199" s="2">
        <v>20</v>
      </c>
      <c r="D199" s="2">
        <v>1390.84</v>
      </c>
      <c r="E199" s="2">
        <v>27816.799999999999</v>
      </c>
      <c r="F199" s="2" t="s">
        <v>136</v>
      </c>
      <c r="G199" s="2" t="s">
        <v>143</v>
      </c>
    </row>
    <row r="200" spans="1:7" x14ac:dyDescent="0.25">
      <c r="A200" s="2" t="s">
        <v>60</v>
      </c>
      <c r="B200" s="2" t="s">
        <v>126</v>
      </c>
      <c r="C200" s="2">
        <v>6</v>
      </c>
      <c r="D200" s="2">
        <v>1088.21</v>
      </c>
      <c r="E200" s="2">
        <v>6529.26</v>
      </c>
      <c r="F200" s="2" t="s">
        <v>139</v>
      </c>
      <c r="G200" s="2" t="s">
        <v>145</v>
      </c>
    </row>
    <row r="201" spans="1:7" x14ac:dyDescent="0.25">
      <c r="A201" s="2" t="s">
        <v>125</v>
      </c>
      <c r="B201" s="2" t="s">
        <v>134</v>
      </c>
      <c r="C201" s="2">
        <v>11</v>
      </c>
      <c r="D201" s="2">
        <v>3454.47</v>
      </c>
      <c r="E201" s="2">
        <v>37999.17</v>
      </c>
      <c r="F201" s="2" t="s">
        <v>136</v>
      </c>
      <c r="G20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TAUANI KRIESER ROCKENBACH</dc:creator>
  <cp:lastModifiedBy>TAUANI KRIESER ROCKENBACH</cp:lastModifiedBy>
  <dcterms:created xsi:type="dcterms:W3CDTF">2026-02-18T23:40:43Z</dcterms:created>
  <dcterms:modified xsi:type="dcterms:W3CDTF">2026-04-17T22:10:21Z</dcterms:modified>
</cp:coreProperties>
</file>